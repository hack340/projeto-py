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to\"/>
    </mc:Choice>
  </mc:AlternateContent>
  <xr:revisionPtr revIDLastSave="0" documentId="13_ncr:1_{E15A3B00-044C-4729-A5B5-A8E9DD66E708}" xr6:coauthVersionLast="41" xr6:coauthVersionMax="43" xr10:uidLastSave="{00000000-0000-0000-0000-000000000000}"/>
  <bookViews>
    <workbookView xWindow="-120" yWindow="-120" windowWidth="24240" windowHeight="13140" tabRatio="894" firstSheet="2" activeTab="2" xr2:uid="{00000000-000D-0000-FFFF-FFFF00000000}"/>
  </bookViews>
  <sheets>
    <sheet name="Country" sheetId="6" state="hidden" r:id="rId1"/>
    <sheet name="Projeto Projeção" sheetId="7" state="hidden" r:id="rId2"/>
    <sheet name="BS P&amp;L" sheetId="12" r:id="rId3"/>
    <sheet name="Input Calculations" sheetId="5" r:id="rId4"/>
    <sheet name="Middle Market Scorecard" sheetId="1" r:id="rId5"/>
    <sheet name="Master Scale" sheetId="3" r:id="rId6"/>
    <sheet name="Resumo" sheetId="13" r:id="rId7"/>
  </sheets>
  <externalReferences>
    <externalReference r:id="rId8"/>
  </externalReferences>
  <definedNames>
    <definedName name="_xlnm.Print_Area" localSheetId="4">'Middle Market Scorecard'!$A$1:$W$84</definedName>
    <definedName name="_xlnm.Print_Area" localSheetId="1">'Projeto Projeção'!$B$1:$I$310</definedName>
    <definedName name="_xlnm.Print_Area" localSheetId="6">Resumo!$B$2:$K$39</definedName>
    <definedName name="DATA" localSheetId="6">'[1]BS P&amp;L'!$D$24</definedName>
    <definedName name="DATA">'BS P&amp;L'!$D$24</definedName>
    <definedName name="DATA2" localSheetId="6">'[1]BS P&amp;L'!$E$24</definedName>
    <definedName name="DATA2">'BS P&amp;L'!$E$24</definedName>
    <definedName name="DATA3" localSheetId="6">'[1]BS P&amp;L'!$F$24</definedName>
    <definedName name="DATA3">'BS P&amp;L'!$F$24</definedName>
    <definedName name="DATA4" localSheetId="6">'[1]BS P&amp;L'!$G$24</definedName>
    <definedName name="DATA4">'BS P&amp;L'!$G$24</definedName>
    <definedName name="TABELA" localSheetId="6">'[1]BS P&amp;L'!$J$6:$M$9</definedName>
    <definedName name="TABELA">'BS P&amp;L'!$J$6:$M$9</definedName>
    <definedName name="teste1">#REF!</definedName>
    <definedName name="VALOR" localSheetId="6">'[1]BS P&amp;L'!$D$11</definedName>
    <definedName name="VALOR">'BS P&amp;L'!$D$11</definedName>
  </definedNames>
  <calcPr calcId="191029" calcOnSave="0" concurrentCalc="0"/>
</workbook>
</file>

<file path=xl/calcChain.xml><?xml version="1.0" encoding="utf-8"?>
<calcChain xmlns="http://schemas.openxmlformats.org/spreadsheetml/2006/main">
  <c r="D88" i="12" l="1"/>
  <c r="G22" i="12"/>
  <c r="C2" i="13"/>
  <c r="I2" i="13"/>
  <c r="F88" i="12"/>
  <c r="F120" i="12"/>
  <c r="D6" i="13"/>
  <c r="E88" i="12"/>
  <c r="F87" i="12"/>
  <c r="F93" i="12"/>
  <c r="E87" i="12"/>
  <c r="E93" i="12"/>
  <c r="E99" i="12"/>
  <c r="E103" i="12"/>
  <c r="E106" i="12"/>
  <c r="F69" i="12"/>
  <c r="E69" i="12"/>
  <c r="F62" i="12"/>
  <c r="I14" i="5"/>
  <c r="I17" i="5"/>
  <c r="E62" i="12"/>
  <c r="E70" i="12"/>
  <c r="E77" i="12"/>
  <c r="E36" i="12"/>
  <c r="E42" i="12"/>
  <c r="E46" i="12"/>
  <c r="E47" i="12"/>
  <c r="E78" i="12"/>
  <c r="F46" i="12"/>
  <c r="F42" i="12"/>
  <c r="C21" i="13"/>
  <c r="F36" i="12"/>
  <c r="I7" i="5"/>
  <c r="I8" i="5"/>
  <c r="I12" i="5"/>
  <c r="D87" i="12"/>
  <c r="D93" i="12"/>
  <c r="E121" i="12"/>
  <c r="F81" i="12"/>
  <c r="E81" i="12"/>
  <c r="R81" i="12"/>
  <c r="D81" i="12"/>
  <c r="F76" i="12"/>
  <c r="D76" i="12"/>
  <c r="T206" i="12"/>
  <c r="D7" i="5"/>
  <c r="E76" i="12"/>
  <c r="D69" i="12"/>
  <c r="D62" i="12"/>
  <c r="D46" i="12"/>
  <c r="D42" i="12"/>
  <c r="D36" i="12"/>
  <c r="D70" i="12"/>
  <c r="D77" i="12"/>
  <c r="G42" i="12"/>
  <c r="G87" i="12"/>
  <c r="O191" i="12"/>
  <c r="G62" i="12"/>
  <c r="H14" i="5"/>
  <c r="H17" i="5"/>
  <c r="G69" i="12"/>
  <c r="G36" i="12"/>
  <c r="G46" i="12"/>
  <c r="C4" i="1"/>
  <c r="G81" i="12"/>
  <c r="G76" i="12"/>
  <c r="C7" i="5"/>
  <c r="C8" i="5"/>
  <c r="C17" i="5"/>
  <c r="D14" i="1"/>
  <c r="D30" i="1"/>
  <c r="O62" i="1"/>
  <c r="Q62" i="1"/>
  <c r="O36" i="12"/>
  <c r="O37" i="12"/>
  <c r="O38" i="12"/>
  <c r="O39" i="12"/>
  <c r="O40" i="12"/>
  <c r="O41" i="12"/>
  <c r="O42" i="12"/>
  <c r="O43" i="12"/>
  <c r="E30" i="13"/>
  <c r="D30" i="13"/>
  <c r="C30" i="13"/>
  <c r="E29" i="13"/>
  <c r="D29" i="13"/>
  <c r="C29" i="13"/>
  <c r="E28" i="13"/>
  <c r="D28" i="13"/>
  <c r="C28" i="13"/>
  <c r="E20" i="13"/>
  <c r="O45" i="13"/>
  <c r="D20" i="13"/>
  <c r="C20" i="13"/>
  <c r="E17" i="13"/>
  <c r="D17" i="13"/>
  <c r="C17" i="13"/>
  <c r="E16" i="13"/>
  <c r="D16" i="13"/>
  <c r="D18" i="13"/>
  <c r="C16" i="13"/>
  <c r="E10" i="13"/>
  <c r="N45" i="13"/>
  <c r="D10" i="13"/>
  <c r="C10" i="13"/>
  <c r="E9" i="13"/>
  <c r="D9" i="13"/>
  <c r="C9" i="13"/>
  <c r="C6" i="13"/>
  <c r="E5" i="13"/>
  <c r="F45" i="13"/>
  <c r="D5" i="13"/>
  <c r="C5" i="13"/>
  <c r="E4" i="13"/>
  <c r="K34" i="13"/>
  <c r="D4" i="13"/>
  <c r="C4" i="13"/>
  <c r="E3" i="13"/>
  <c r="D3" i="13"/>
  <c r="C3" i="13"/>
  <c r="C45" i="13"/>
  <c r="M8" i="5"/>
  <c r="M9" i="5"/>
  <c r="M12" i="5"/>
  <c r="N12" i="5"/>
  <c r="N71" i="1"/>
  <c r="N70" i="1"/>
  <c r="N69" i="1"/>
  <c r="N68" i="1"/>
  <c r="N67" i="1"/>
  <c r="N66" i="1"/>
  <c r="N65" i="1"/>
  <c r="N64" i="1"/>
  <c r="N63" i="1"/>
  <c r="N62" i="1"/>
  <c r="C6" i="1"/>
  <c r="D1" i="3"/>
  <c r="T81" i="12"/>
  <c r="P81" i="12"/>
  <c r="V81" i="12"/>
  <c r="D8" i="5"/>
  <c r="K6" i="3"/>
  <c r="L6" i="3"/>
  <c r="N15" i="3"/>
  <c r="K14" i="3"/>
  <c r="L14" i="3"/>
  <c r="N13" i="3"/>
  <c r="K13" i="3"/>
  <c r="L13" i="3"/>
  <c r="N12" i="3"/>
  <c r="K12" i="3"/>
  <c r="L12" i="3"/>
  <c r="N11" i="3"/>
  <c r="K11" i="3"/>
  <c r="L11" i="3"/>
  <c r="N10" i="3"/>
  <c r="K10" i="3"/>
  <c r="L10" i="3"/>
  <c r="N9" i="3"/>
  <c r="K9" i="3"/>
  <c r="L9" i="3"/>
  <c r="N8" i="3"/>
  <c r="K8" i="3"/>
  <c r="L8" i="3"/>
  <c r="N7" i="3"/>
  <c r="K7" i="3"/>
  <c r="L7" i="3"/>
  <c r="N6" i="3"/>
  <c r="K15" i="3"/>
  <c r="L15" i="3"/>
  <c r="N14" i="3"/>
  <c r="R73" i="1"/>
  <c r="H8" i="5"/>
  <c r="O111" i="12"/>
  <c r="P73" i="1"/>
  <c r="I27" i="5"/>
  <c r="I28" i="5"/>
  <c r="H27" i="5"/>
  <c r="H28" i="5"/>
  <c r="W33" i="1"/>
  <c r="T33" i="1"/>
  <c r="U33" i="1"/>
  <c r="V33" i="1"/>
  <c r="O12" i="5"/>
  <c r="P12" i="5"/>
  <c r="N9" i="5"/>
  <c r="O9" i="5"/>
  <c r="P9" i="5"/>
  <c r="N8" i="5"/>
  <c r="O8" i="5"/>
  <c r="P8" i="5"/>
  <c r="N5" i="5"/>
  <c r="I32" i="5"/>
  <c r="H32" i="5"/>
  <c r="I24" i="5"/>
  <c r="I26" i="5"/>
  <c r="H24" i="5"/>
  <c r="H26" i="5"/>
  <c r="D25" i="5"/>
  <c r="C25" i="5"/>
  <c r="D5" i="5"/>
  <c r="O5" i="5"/>
  <c r="C5" i="5"/>
  <c r="H5" i="5"/>
  <c r="Q240" i="12"/>
  <c r="R240" i="12"/>
  <c r="Q238" i="12"/>
  <c r="R238" i="12"/>
  <c r="Q236" i="12"/>
  <c r="R236" i="12"/>
  <c r="Q234" i="12"/>
  <c r="R234" i="12"/>
  <c r="Q232" i="12"/>
  <c r="R232" i="12"/>
  <c r="Q230" i="12"/>
  <c r="R230" i="12"/>
  <c r="Q228" i="12"/>
  <c r="R228" i="12"/>
  <c r="Q226" i="12"/>
  <c r="R226" i="12"/>
  <c r="Q224" i="12"/>
  <c r="R224" i="12"/>
  <c r="Q220" i="12"/>
  <c r="R220" i="12"/>
  <c r="Q218" i="12"/>
  <c r="R218" i="12"/>
  <c r="W214" i="12"/>
  <c r="X214" i="12"/>
  <c r="V214" i="12"/>
  <c r="U214" i="12"/>
  <c r="S214" i="12"/>
  <c r="W213" i="12"/>
  <c r="X213" i="12"/>
  <c r="U213" i="12"/>
  <c r="S213" i="12"/>
  <c r="W212" i="12"/>
  <c r="X212" i="12"/>
  <c r="U212" i="12"/>
  <c r="S212" i="12"/>
  <c r="W211" i="12"/>
  <c r="X211" i="12"/>
  <c r="V210" i="12"/>
  <c r="U211" i="12"/>
  <c r="T210" i="12"/>
  <c r="S211" i="12"/>
  <c r="R210" i="12"/>
  <c r="W209" i="12"/>
  <c r="X209" i="12"/>
  <c r="U209" i="12"/>
  <c r="S209" i="12"/>
  <c r="W208" i="12"/>
  <c r="X208" i="12"/>
  <c r="U208" i="12"/>
  <c r="S208" i="12"/>
  <c r="W207" i="12"/>
  <c r="X207" i="12"/>
  <c r="U207" i="12"/>
  <c r="S207" i="12"/>
  <c r="W206" i="12"/>
  <c r="X206" i="12"/>
  <c r="V205" i="12"/>
  <c r="U206" i="12"/>
  <c r="T205" i="12"/>
  <c r="S206" i="12"/>
  <c r="R205" i="12"/>
  <c r="W204" i="12"/>
  <c r="X204" i="12"/>
  <c r="U204" i="12"/>
  <c r="S204" i="12"/>
  <c r="W203" i="12"/>
  <c r="X203" i="12"/>
  <c r="U203" i="12"/>
  <c r="S203" i="12"/>
  <c r="W202" i="12"/>
  <c r="X202" i="12"/>
  <c r="U202" i="12"/>
  <c r="U201" i="12"/>
  <c r="T200" i="12"/>
  <c r="U197" i="12"/>
  <c r="T197" i="12"/>
  <c r="S202" i="12"/>
  <c r="W201" i="12"/>
  <c r="X201" i="12"/>
  <c r="V200" i="12"/>
  <c r="S201" i="12"/>
  <c r="O189" i="12"/>
  <c r="O188" i="12"/>
  <c r="O187" i="12"/>
  <c r="O186" i="12"/>
  <c r="AA185" i="12"/>
  <c r="Z185" i="12"/>
  <c r="Y185" i="12"/>
  <c r="O185" i="12"/>
  <c r="O184" i="12"/>
  <c r="O183" i="12"/>
  <c r="O182" i="12"/>
  <c r="O181" i="12"/>
  <c r="O180" i="12"/>
  <c r="AA179" i="12"/>
  <c r="Z179" i="12"/>
  <c r="Y179" i="12"/>
  <c r="O179" i="12"/>
  <c r="AA178" i="12"/>
  <c r="Z178" i="12"/>
  <c r="Y178" i="12"/>
  <c r="O178" i="12"/>
  <c r="O177" i="12"/>
  <c r="O176" i="12"/>
  <c r="O175" i="12"/>
  <c r="O174" i="12"/>
  <c r="O173" i="12"/>
  <c r="O172" i="12"/>
  <c r="O171" i="12"/>
  <c r="O170" i="12"/>
  <c r="O169" i="12"/>
  <c r="O168" i="12"/>
  <c r="O167" i="12"/>
  <c r="O166" i="12"/>
  <c r="O165" i="12"/>
  <c r="C164" i="12"/>
  <c r="O164" i="12"/>
  <c r="O163" i="12"/>
  <c r="G163" i="12"/>
  <c r="F163" i="12"/>
  <c r="T163" i="12"/>
  <c r="E163" i="12"/>
  <c r="O161" i="12"/>
  <c r="C160" i="12"/>
  <c r="O160" i="12"/>
  <c r="O159" i="12"/>
  <c r="C157" i="12"/>
  <c r="O157" i="12"/>
  <c r="O156" i="12"/>
  <c r="O155" i="12"/>
  <c r="O154" i="12"/>
  <c r="C153" i="12"/>
  <c r="O153" i="12"/>
  <c r="C152" i="12"/>
  <c r="O152" i="12"/>
  <c r="C151" i="12"/>
  <c r="O151" i="12"/>
  <c r="O150" i="12"/>
  <c r="O149" i="12"/>
  <c r="O148" i="12"/>
  <c r="O146" i="12"/>
  <c r="I146" i="12"/>
  <c r="O145" i="12"/>
  <c r="I145" i="12"/>
  <c r="O144" i="12"/>
  <c r="I144" i="12"/>
  <c r="O143" i="12"/>
  <c r="I143" i="12"/>
  <c r="O142" i="12"/>
  <c r="I142" i="12"/>
  <c r="O141" i="12"/>
  <c r="I141" i="12"/>
  <c r="G141" i="12"/>
  <c r="B145" i="12"/>
  <c r="C80" i="12"/>
  <c r="O140" i="12"/>
  <c r="I140" i="12"/>
  <c r="O139" i="12"/>
  <c r="I139" i="12"/>
  <c r="O138" i="12"/>
  <c r="O137" i="12"/>
  <c r="O133" i="12"/>
  <c r="O132" i="12"/>
  <c r="O131" i="12"/>
  <c r="O130" i="12"/>
  <c r="O122" i="12"/>
  <c r="O121" i="12"/>
  <c r="O120" i="12"/>
  <c r="O119" i="12"/>
  <c r="G119" i="12"/>
  <c r="F119" i="12"/>
  <c r="E119" i="12"/>
  <c r="O118" i="12"/>
  <c r="E118" i="12"/>
  <c r="O117" i="12"/>
  <c r="O116" i="12"/>
  <c r="F115" i="12"/>
  <c r="T115" i="12"/>
  <c r="O114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G118" i="12"/>
  <c r="O82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B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35" i="12"/>
  <c r="O34" i="12"/>
  <c r="O33" i="12"/>
  <c r="O32" i="12"/>
  <c r="O31" i="12"/>
  <c r="O30" i="12"/>
  <c r="O29" i="12"/>
  <c r="O28" i="12"/>
  <c r="O27" i="12"/>
  <c r="O26" i="12"/>
  <c r="O25" i="12"/>
  <c r="G24" i="12"/>
  <c r="V24" i="12"/>
  <c r="F24" i="12"/>
  <c r="T24" i="12"/>
  <c r="E24" i="12"/>
  <c r="D24" i="12"/>
  <c r="D80" i="12"/>
  <c r="P80" i="12"/>
  <c r="P125" i="12"/>
  <c r="P137" i="12"/>
  <c r="P148" i="12"/>
  <c r="C24" i="12"/>
  <c r="O23" i="12"/>
  <c r="C23" i="12"/>
  <c r="C135" i="12"/>
  <c r="V22" i="12"/>
  <c r="F22" i="12"/>
  <c r="T22" i="12"/>
  <c r="E22" i="12"/>
  <c r="R22" i="12"/>
  <c r="D22" i="12"/>
  <c r="P22" i="12"/>
  <c r="C22" i="12"/>
  <c r="O22" i="12"/>
  <c r="J8" i="12"/>
  <c r="J7" i="12"/>
  <c r="J6" i="12"/>
  <c r="F118" i="12"/>
  <c r="D88" i="7"/>
  <c r="D92" i="7"/>
  <c r="D63" i="7"/>
  <c r="G63" i="7"/>
  <c r="D54" i="7"/>
  <c r="D30" i="7"/>
  <c r="D23" i="7"/>
  <c r="D151" i="7"/>
  <c r="G151" i="7"/>
  <c r="D18" i="7"/>
  <c r="H88" i="7"/>
  <c r="H92" i="7"/>
  <c r="H63" i="7"/>
  <c r="H54" i="7"/>
  <c r="H56" i="7"/>
  <c r="H185" i="7"/>
  <c r="H30" i="7"/>
  <c r="H34" i="7"/>
  <c r="H260" i="7"/>
  <c r="H158" i="7"/>
  <c r="H23" i="7"/>
  <c r="H18" i="7"/>
  <c r="H190" i="7"/>
  <c r="F30" i="7"/>
  <c r="F158" i="7"/>
  <c r="I158" i="7"/>
  <c r="G45" i="7"/>
  <c r="H139" i="7"/>
  <c r="H141" i="7"/>
  <c r="H174" i="7"/>
  <c r="H175" i="7"/>
  <c r="H177" i="7"/>
  <c r="H278" i="7"/>
  <c r="H153" i="7"/>
  <c r="C81" i="7"/>
  <c r="F54" i="7"/>
  <c r="F63" i="7"/>
  <c r="I63" i="7"/>
  <c r="F192" i="7"/>
  <c r="F72" i="7"/>
  <c r="I72" i="7"/>
  <c r="H72" i="7"/>
  <c r="H201" i="7"/>
  <c r="F18" i="7"/>
  <c r="F264" i="7"/>
  <c r="F23" i="7"/>
  <c r="F151" i="7"/>
  <c r="I151" i="7"/>
  <c r="F34" i="7"/>
  <c r="I34" i="7"/>
  <c r="F88" i="7"/>
  <c r="H287" i="7"/>
  <c r="F287" i="7"/>
  <c r="H243" i="7"/>
  <c r="H244" i="7"/>
  <c r="H306" i="7"/>
  <c r="H245" i="7"/>
  <c r="D215" i="7"/>
  <c r="G215" i="7"/>
  <c r="G102" i="7"/>
  <c r="G103" i="7"/>
  <c r="G104" i="7"/>
  <c r="G105" i="7"/>
  <c r="G106" i="7"/>
  <c r="G95" i="7"/>
  <c r="G96" i="7"/>
  <c r="G97" i="7"/>
  <c r="H140" i="7"/>
  <c r="H148" i="7"/>
  <c r="H198" i="7"/>
  <c r="H228" i="7"/>
  <c r="H296" i="7"/>
  <c r="H239" i="7"/>
  <c r="F244" i="7"/>
  <c r="F306" i="7"/>
  <c r="I306" i="7"/>
  <c r="F243" i="7"/>
  <c r="I243" i="7"/>
  <c r="F245" i="7"/>
  <c r="I245" i="7"/>
  <c r="H187" i="7"/>
  <c r="H188" i="7"/>
  <c r="H179" i="7"/>
  <c r="H180" i="7"/>
  <c r="D58" i="1"/>
  <c r="O67" i="1"/>
  <c r="Q67" i="1"/>
  <c r="H46" i="1"/>
  <c r="O68" i="1"/>
  <c r="Q68" i="1"/>
  <c r="L42" i="1"/>
  <c r="O69" i="1"/>
  <c r="Q69" i="1"/>
  <c r="P43" i="1"/>
  <c r="O70" i="1"/>
  <c r="Q70" i="1"/>
  <c r="D84" i="1"/>
  <c r="O71" i="1"/>
  <c r="Q71" i="1"/>
  <c r="D72" i="7"/>
  <c r="H217" i="7"/>
  <c r="F141" i="7"/>
  <c r="F174" i="7"/>
  <c r="H293" i="7"/>
  <c r="I174" i="7"/>
  <c r="F217" i="7"/>
  <c r="I217" i="7"/>
  <c r="D174" i="7"/>
  <c r="D217" i="7"/>
  <c r="G217" i="7"/>
  <c r="H143" i="7"/>
  <c r="H212" i="7"/>
  <c r="F139" i="7"/>
  <c r="H181" i="7"/>
  <c r="F181" i="7"/>
  <c r="H291" i="7"/>
  <c r="F143" i="7"/>
  <c r="F212" i="7"/>
  <c r="D143" i="7"/>
  <c r="D212" i="7"/>
  <c r="G212" i="7"/>
  <c r="D141" i="7"/>
  <c r="G141" i="7"/>
  <c r="F228" i="7"/>
  <c r="D228" i="7"/>
  <c r="G228" i="7"/>
  <c r="D243" i="7"/>
  <c r="G243" i="7"/>
  <c r="D244" i="7"/>
  <c r="G244" i="7"/>
  <c r="D245" i="7"/>
  <c r="G245" i="7"/>
  <c r="H138" i="7"/>
  <c r="F138" i="7"/>
  <c r="H308" i="7"/>
  <c r="D138" i="7"/>
  <c r="F187" i="7"/>
  <c r="D187" i="7"/>
  <c r="F179" i="7"/>
  <c r="I179" i="7"/>
  <c r="D179" i="7"/>
  <c r="G179" i="7"/>
  <c r="H224" i="7"/>
  <c r="F224" i="7"/>
  <c r="D224" i="7"/>
  <c r="C224" i="7"/>
  <c r="D153" i="7"/>
  <c r="G153" i="7"/>
  <c r="F153" i="7"/>
  <c r="D177" i="7"/>
  <c r="G177" i="7"/>
  <c r="F177" i="7"/>
  <c r="F213" i="7"/>
  <c r="I213" i="7"/>
  <c r="D188" i="7"/>
  <c r="F188" i="7"/>
  <c r="I188" i="7"/>
  <c r="D139" i="7"/>
  <c r="G139" i="7"/>
  <c r="D175" i="7"/>
  <c r="G175" i="7"/>
  <c r="D181" i="7"/>
  <c r="G181" i="7"/>
  <c r="I181" i="7"/>
  <c r="F221" i="7"/>
  <c r="F222" i="7"/>
  <c r="I222" i="7"/>
  <c r="F223" i="7"/>
  <c r="F294" i="7"/>
  <c r="I294" i="7"/>
  <c r="F229" i="7"/>
  <c r="I229" i="7"/>
  <c r="D196" i="7"/>
  <c r="G196" i="7"/>
  <c r="F196" i="7"/>
  <c r="F238" i="7"/>
  <c r="I238" i="7"/>
  <c r="F239" i="7"/>
  <c r="D140" i="7"/>
  <c r="F140" i="7"/>
  <c r="D176" i="7"/>
  <c r="F176" i="7"/>
  <c r="F304" i="7"/>
  <c r="I304" i="7"/>
  <c r="F148" i="7"/>
  <c r="I148" i="7"/>
  <c r="F180" i="7"/>
  <c r="I180" i="7"/>
  <c r="H213" i="7"/>
  <c r="H292" i="7"/>
  <c r="H221" i="7"/>
  <c r="H222" i="7"/>
  <c r="H223" i="7"/>
  <c r="H294" i="7"/>
  <c r="H229" i="7"/>
  <c r="H295" i="7"/>
  <c r="H196" i="7"/>
  <c r="H238" i="7"/>
  <c r="H307" i="7"/>
  <c r="H176" i="7"/>
  <c r="H304" i="7"/>
  <c r="B209" i="7"/>
  <c r="B208" i="7"/>
  <c r="B179" i="7"/>
  <c r="B180" i="7"/>
  <c r="B181" i="7"/>
  <c r="B182" i="7"/>
  <c r="B183" i="7"/>
  <c r="B171" i="7"/>
  <c r="B170" i="7"/>
  <c r="B139" i="7"/>
  <c r="B138" i="7"/>
  <c r="I16" i="7"/>
  <c r="H199" i="7"/>
  <c r="H197" i="7"/>
  <c r="H189" i="7"/>
  <c r="H182" i="7"/>
  <c r="H178" i="7"/>
  <c r="F199" i="7"/>
  <c r="I199" i="7"/>
  <c r="F198" i="7"/>
  <c r="I198" i="7"/>
  <c r="F197" i="7"/>
  <c r="I197" i="7"/>
  <c r="F190" i="7"/>
  <c r="I190" i="7"/>
  <c r="F189" i="7"/>
  <c r="I189" i="7"/>
  <c r="F182" i="7"/>
  <c r="I182" i="7"/>
  <c r="F178" i="7"/>
  <c r="I178" i="7"/>
  <c r="F175" i="7"/>
  <c r="I175" i="7"/>
  <c r="H160" i="7"/>
  <c r="H157" i="7"/>
  <c r="H156" i="7"/>
  <c r="H155" i="7"/>
  <c r="H154" i="7"/>
  <c r="H149" i="7"/>
  <c r="H142" i="7"/>
  <c r="F160" i="7"/>
  <c r="I160" i="7"/>
  <c r="F157" i="7"/>
  <c r="I157" i="7"/>
  <c r="F156" i="7"/>
  <c r="I156" i="7"/>
  <c r="F155" i="7"/>
  <c r="F154" i="7"/>
  <c r="I154" i="7"/>
  <c r="F149" i="7"/>
  <c r="F142" i="7"/>
  <c r="I142" i="7"/>
  <c r="F230" i="7"/>
  <c r="I230" i="7"/>
  <c r="H230" i="7"/>
  <c r="F231" i="7"/>
  <c r="I231" i="7"/>
  <c r="F232" i="7"/>
  <c r="I232" i="7"/>
  <c r="I26" i="7"/>
  <c r="I27" i="7"/>
  <c r="I28" i="7"/>
  <c r="G26" i="7"/>
  <c r="G27" i="7"/>
  <c r="G28" i="7"/>
  <c r="G29" i="7"/>
  <c r="G16" i="7"/>
  <c r="F209" i="7"/>
  <c r="H209" i="7"/>
  <c r="C155" i="7"/>
  <c r="H231" i="7"/>
  <c r="H232" i="7"/>
  <c r="D229" i="7"/>
  <c r="G229" i="7"/>
  <c r="D230" i="7"/>
  <c r="D231" i="7"/>
  <c r="D232" i="7"/>
  <c r="E41" i="7"/>
  <c r="E81" i="7"/>
  <c r="E208" i="7"/>
  <c r="D142" i="7"/>
  <c r="G142" i="7"/>
  <c r="D148" i="7"/>
  <c r="G148" i="7"/>
  <c r="D149" i="7"/>
  <c r="G149" i="7"/>
  <c r="D154" i="7"/>
  <c r="D156" i="7"/>
  <c r="G156" i="7"/>
  <c r="D157" i="7"/>
  <c r="G157" i="7"/>
  <c r="D160" i="7"/>
  <c r="G160" i="7"/>
  <c r="E170" i="7"/>
  <c r="D178" i="7"/>
  <c r="D180" i="7"/>
  <c r="G180" i="7"/>
  <c r="D182" i="7"/>
  <c r="G182" i="7"/>
  <c r="D189" i="7"/>
  <c r="G189" i="7"/>
  <c r="D190" i="7"/>
  <c r="G190" i="7"/>
  <c r="D197" i="7"/>
  <c r="D198" i="7"/>
  <c r="G198" i="7"/>
  <c r="D199" i="7"/>
  <c r="G199" i="7"/>
  <c r="D213" i="7"/>
  <c r="G213" i="7"/>
  <c r="D221" i="7"/>
  <c r="G221" i="7"/>
  <c r="D222" i="7"/>
  <c r="G222" i="7"/>
  <c r="D223" i="7"/>
  <c r="G223" i="7"/>
  <c r="D238" i="7"/>
  <c r="G238" i="7"/>
  <c r="D239" i="7"/>
  <c r="G239" i="7"/>
  <c r="D155" i="7"/>
  <c r="C144" i="7"/>
  <c r="B82" i="7"/>
  <c r="B81" i="7"/>
  <c r="B42" i="7"/>
  <c r="B41" i="7"/>
  <c r="I118" i="7"/>
  <c r="G118" i="7"/>
  <c r="I117" i="7"/>
  <c r="G117" i="7"/>
  <c r="I116" i="7"/>
  <c r="G116" i="7"/>
  <c r="I112" i="7"/>
  <c r="G112" i="7"/>
  <c r="I111" i="7"/>
  <c r="G111" i="7"/>
  <c r="I103" i="7"/>
  <c r="I101" i="7"/>
  <c r="G101" i="7"/>
  <c r="I96" i="7"/>
  <c r="I95" i="7"/>
  <c r="I94" i="7"/>
  <c r="G94" i="7"/>
  <c r="I90" i="7"/>
  <c r="G90" i="7"/>
  <c r="G88" i="7"/>
  <c r="I86" i="7"/>
  <c r="G86" i="7"/>
  <c r="I85" i="7"/>
  <c r="G85" i="7"/>
  <c r="I70" i="7"/>
  <c r="G70" i="7"/>
  <c r="I69" i="7"/>
  <c r="G69" i="7"/>
  <c r="I68" i="7"/>
  <c r="G68" i="7"/>
  <c r="I67" i="7"/>
  <c r="G67" i="7"/>
  <c r="G61" i="7"/>
  <c r="I60" i="7"/>
  <c r="G60" i="7"/>
  <c r="I59" i="7"/>
  <c r="G59" i="7"/>
  <c r="I58" i="7"/>
  <c r="G58" i="7"/>
  <c r="I54" i="7"/>
  <c r="I53" i="7"/>
  <c r="G53" i="7"/>
  <c r="I52" i="7"/>
  <c r="G52" i="7"/>
  <c r="I51" i="7"/>
  <c r="G51" i="7"/>
  <c r="I50" i="7"/>
  <c r="G50" i="7"/>
  <c r="I49" i="7"/>
  <c r="G49" i="7"/>
  <c r="I48" i="7"/>
  <c r="G48" i="7"/>
  <c r="I47" i="7"/>
  <c r="G47" i="7"/>
  <c r="I46" i="7"/>
  <c r="G46" i="7"/>
  <c r="I45" i="7"/>
  <c r="I32" i="7"/>
  <c r="G32" i="7"/>
  <c r="I29" i="7"/>
  <c r="I25" i="7"/>
  <c r="G25" i="7"/>
  <c r="G23" i="7"/>
  <c r="I21" i="7"/>
  <c r="G21" i="7"/>
  <c r="I20" i="7"/>
  <c r="G20" i="7"/>
  <c r="I15" i="7"/>
  <c r="G15" i="7"/>
  <c r="I14" i="7"/>
  <c r="G14" i="7"/>
  <c r="I13" i="7"/>
  <c r="G13" i="7"/>
  <c r="I12" i="7"/>
  <c r="G12" i="7"/>
  <c r="I11" i="7"/>
  <c r="G11" i="7"/>
  <c r="I10" i="7"/>
  <c r="G10" i="7"/>
  <c r="C288" i="7"/>
  <c r="B288" i="7"/>
  <c r="I41" i="7"/>
  <c r="I81" i="7"/>
  <c r="I208" i="7"/>
  <c r="I287" i="7"/>
  <c r="H41" i="7"/>
  <c r="H81" i="7"/>
  <c r="G41" i="7"/>
  <c r="G81" i="7"/>
  <c r="G208" i="7"/>
  <c r="G287" i="7"/>
  <c r="F41" i="7"/>
  <c r="F81" i="7"/>
  <c r="F208" i="7"/>
  <c r="F134" i="7"/>
  <c r="F170" i="7"/>
  <c r="C287" i="7"/>
  <c r="B287" i="7"/>
  <c r="H259" i="7"/>
  <c r="F259" i="7"/>
  <c r="D259" i="7"/>
  <c r="C253" i="7"/>
  <c r="B253" i="7"/>
  <c r="H252" i="7"/>
  <c r="F252" i="7"/>
  <c r="D252" i="7"/>
  <c r="C252" i="7"/>
  <c r="B252" i="7"/>
  <c r="C247" i="7"/>
  <c r="C245" i="7"/>
  <c r="C244" i="7"/>
  <c r="C243" i="7"/>
  <c r="C241" i="7"/>
  <c r="C239" i="7"/>
  <c r="C238" i="7"/>
  <c r="C236" i="7"/>
  <c r="C226" i="7"/>
  <c r="C223" i="7"/>
  <c r="C222" i="7"/>
  <c r="C221" i="7"/>
  <c r="C219" i="7"/>
  <c r="C217" i="7"/>
  <c r="C215" i="7"/>
  <c r="C213" i="7"/>
  <c r="C212" i="7"/>
  <c r="C209" i="7"/>
  <c r="D41" i="7"/>
  <c r="D81" i="7"/>
  <c r="D208" i="7"/>
  <c r="C208" i="7"/>
  <c r="C203" i="7"/>
  <c r="C201" i="7"/>
  <c r="C199" i="7"/>
  <c r="C198" i="7"/>
  <c r="G197" i="7"/>
  <c r="C197" i="7"/>
  <c r="C196" i="7"/>
  <c r="C194" i="7"/>
  <c r="C192" i="7"/>
  <c r="C190" i="7"/>
  <c r="C189" i="7"/>
  <c r="C188" i="7"/>
  <c r="G187" i="7"/>
  <c r="C187" i="7"/>
  <c r="C185" i="7"/>
  <c r="C183" i="7"/>
  <c r="C182" i="7"/>
  <c r="C181" i="7"/>
  <c r="C180" i="7"/>
  <c r="C179" i="7"/>
  <c r="G178" i="7"/>
  <c r="C177" i="7"/>
  <c r="I176" i="7"/>
  <c r="C176" i="7"/>
  <c r="C175" i="7"/>
  <c r="C174" i="7"/>
  <c r="C171" i="7"/>
  <c r="I170" i="7"/>
  <c r="G170" i="7"/>
  <c r="C170" i="7"/>
  <c r="C164" i="7"/>
  <c r="C162" i="7"/>
  <c r="C160" i="7"/>
  <c r="C158" i="7"/>
  <c r="C157" i="7"/>
  <c r="C156" i="7"/>
  <c r="G154" i="7"/>
  <c r="C154" i="7"/>
  <c r="C153" i="7"/>
  <c r="C151" i="7"/>
  <c r="I149" i="7"/>
  <c r="C149" i="7"/>
  <c r="C148" i="7"/>
  <c r="C146" i="7"/>
  <c r="C143" i="7"/>
  <c r="C142" i="7"/>
  <c r="C141" i="7"/>
  <c r="I140" i="7"/>
  <c r="C140" i="7"/>
  <c r="C139" i="7"/>
  <c r="C138" i="7"/>
  <c r="C135" i="7"/>
  <c r="B135" i="7"/>
  <c r="C134" i="7"/>
  <c r="B134" i="7"/>
  <c r="H42" i="7"/>
  <c r="H82" i="7"/>
  <c r="F42" i="7"/>
  <c r="F82" i="7"/>
  <c r="D42" i="7"/>
  <c r="D82" i="7"/>
  <c r="C42" i="7"/>
  <c r="C82" i="7"/>
  <c r="D24" i="3"/>
  <c r="M10" i="5"/>
  <c r="I21" i="5"/>
  <c r="I5" i="5"/>
  <c r="I239" i="7"/>
  <c r="I61" i="7"/>
  <c r="D192" i="7"/>
  <c r="G192" i="7"/>
  <c r="H151" i="7"/>
  <c r="I143" i="7"/>
  <c r="F92" i="7"/>
  <c r="G143" i="7"/>
  <c r="I223" i="7"/>
  <c r="H192" i="7"/>
  <c r="I23" i="7"/>
  <c r="I138" i="7"/>
  <c r="H162" i="7"/>
  <c r="H279" i="7"/>
  <c r="F56" i="7"/>
  <c r="I56" i="7"/>
  <c r="F183" i="7"/>
  <c r="I183" i="7"/>
  <c r="F307" i="7"/>
  <c r="I307" i="7"/>
  <c r="I244" i="7"/>
  <c r="F305" i="7"/>
  <c r="I305" i="7"/>
  <c r="H258" i="7"/>
  <c r="F185" i="7"/>
  <c r="I185" i="7"/>
  <c r="H183" i="7"/>
  <c r="H265" i="7"/>
  <c r="H146" i="7"/>
  <c r="H264" i="7"/>
  <c r="F146" i="7"/>
  <c r="I146" i="7"/>
  <c r="F258" i="7"/>
  <c r="D264" i="7"/>
  <c r="G188" i="7"/>
  <c r="D265" i="7"/>
  <c r="D258" i="7"/>
  <c r="I141" i="7"/>
  <c r="H277" i="7"/>
  <c r="D111" i="12"/>
  <c r="E111" i="12"/>
  <c r="E113" i="12"/>
  <c r="E120" i="12"/>
  <c r="E117" i="12"/>
  <c r="Y33" i="1"/>
  <c r="D21" i="5"/>
  <c r="O20" i="12"/>
  <c r="B12" i="12"/>
  <c r="P88" i="12"/>
  <c r="C21" i="5"/>
  <c r="P37" i="12"/>
  <c r="R193" i="12"/>
  <c r="T193" i="12"/>
  <c r="P24" i="12"/>
  <c r="C18" i="13"/>
  <c r="F117" i="12"/>
  <c r="D134" i="7"/>
  <c r="D170" i="7"/>
  <c r="B6" i="12"/>
  <c r="R103" i="12"/>
  <c r="R64" i="12"/>
  <c r="F277" i="7"/>
  <c r="I221" i="7"/>
  <c r="F295" i="7"/>
  <c r="I295" i="7"/>
  <c r="G176" i="7"/>
  <c r="E94" i="12"/>
  <c r="P87" i="12"/>
  <c r="P104" i="12"/>
  <c r="H297" i="7"/>
  <c r="F65" i="7"/>
  <c r="D47" i="12"/>
  <c r="E116" i="12"/>
  <c r="P72" i="12"/>
  <c r="P91" i="12"/>
  <c r="H36" i="7"/>
  <c r="H164" i="7"/>
  <c r="H270" i="7"/>
  <c r="H215" i="7"/>
  <c r="I30" i="7"/>
  <c r="X33" i="1"/>
  <c r="C25" i="13"/>
  <c r="P45" i="13"/>
  <c r="D19" i="13"/>
  <c r="F303" i="7"/>
  <c r="I303" i="7"/>
  <c r="G140" i="7"/>
  <c r="R200" i="12"/>
  <c r="S197" i="12"/>
  <c r="R197" i="12"/>
  <c r="F292" i="7"/>
  <c r="I292" i="7"/>
  <c r="I177" i="7"/>
  <c r="F265" i="7"/>
  <c r="O135" i="12"/>
  <c r="O80" i="12"/>
  <c r="F201" i="7"/>
  <c r="I201" i="7"/>
  <c r="I192" i="7"/>
  <c r="I212" i="7"/>
  <c r="F291" i="7"/>
  <c r="D201" i="7"/>
  <c r="G72" i="7"/>
  <c r="D158" i="7"/>
  <c r="G30" i="7"/>
  <c r="D34" i="7"/>
  <c r="I18" i="7"/>
  <c r="H303" i="7"/>
  <c r="I196" i="7"/>
  <c r="H305" i="7"/>
  <c r="H65" i="7"/>
  <c r="H74" i="7"/>
  <c r="H203" i="7"/>
  <c r="D99" i="12"/>
  <c r="D94" i="12"/>
  <c r="N10" i="5"/>
  <c r="G117" i="12"/>
  <c r="G93" i="12"/>
  <c r="V93" i="12"/>
  <c r="H21" i="5"/>
  <c r="J13" i="12"/>
  <c r="R39" i="12"/>
  <c r="R41" i="12"/>
  <c r="R84" i="12"/>
  <c r="R31" i="12"/>
  <c r="R152" i="12"/>
  <c r="R83" i="12"/>
  <c r="R48" i="12"/>
  <c r="R30" i="12"/>
  <c r="R151" i="12"/>
  <c r="R144" i="12"/>
  <c r="K144" i="12"/>
  <c r="R45" i="12"/>
  <c r="R55" i="12"/>
  <c r="R51" i="12"/>
  <c r="R66" i="12"/>
  <c r="P85" i="12"/>
  <c r="P29" i="12"/>
  <c r="P150" i="12"/>
  <c r="J11" i="12"/>
  <c r="P48" i="12"/>
  <c r="P84" i="12"/>
  <c r="P95" i="12"/>
  <c r="P32" i="12"/>
  <c r="P153" i="12"/>
  <c r="P43" i="12"/>
  <c r="P57" i="12"/>
  <c r="P38" i="12"/>
  <c r="P96" i="12"/>
  <c r="P34" i="12"/>
  <c r="P56" i="12"/>
  <c r="P54" i="12"/>
  <c r="P156" i="12"/>
  <c r="P139" i="12"/>
  <c r="P33" i="12"/>
  <c r="P93" i="12"/>
  <c r="P102" i="12"/>
  <c r="P30" i="12"/>
  <c r="P151" i="12"/>
  <c r="P41" i="12"/>
  <c r="P140" i="12"/>
  <c r="P82" i="12"/>
  <c r="P107" i="12"/>
  <c r="R26" i="12"/>
  <c r="R108" i="12"/>
  <c r="R61" i="12"/>
  <c r="B10" i="12"/>
  <c r="F80" i="12"/>
  <c r="T80" i="12"/>
  <c r="T125" i="12"/>
  <c r="T137" i="12"/>
  <c r="E18" i="13"/>
  <c r="I29" i="5"/>
  <c r="H29" i="5"/>
  <c r="G70" i="12"/>
  <c r="G77" i="12"/>
  <c r="F70" i="12"/>
  <c r="F77" i="12"/>
  <c r="F194" i="7"/>
  <c r="I194" i="7"/>
  <c r="C7" i="13"/>
  <c r="C8" i="13"/>
  <c r="C23" i="13"/>
  <c r="D78" i="12"/>
  <c r="H194" i="7"/>
  <c r="H271" i="7"/>
  <c r="D103" i="12"/>
  <c r="P103" i="12"/>
  <c r="G34" i="7"/>
  <c r="D260" i="7"/>
  <c r="G201" i="7"/>
  <c r="I291" i="7"/>
  <c r="L45" i="13"/>
  <c r="S83" i="12"/>
  <c r="S107" i="12"/>
  <c r="S98" i="12"/>
  <c r="S149" i="12"/>
  <c r="S99" i="12"/>
  <c r="S153" i="12"/>
  <c r="S91" i="12"/>
  <c r="S150" i="12"/>
  <c r="S160" i="12"/>
  <c r="S89" i="12"/>
  <c r="S100" i="12"/>
  <c r="S156" i="12"/>
  <c r="S155" i="12"/>
  <c r="S97" i="12"/>
  <c r="S106" i="12"/>
  <c r="S102" i="12"/>
  <c r="S90" i="12"/>
  <c r="S110" i="12"/>
  <c r="R208" i="12"/>
  <c r="S105" i="12"/>
  <c r="S109" i="12"/>
  <c r="S92" i="12"/>
  <c r="S151" i="12"/>
  <c r="S84" i="12"/>
  <c r="D106" i="12"/>
  <c r="D110" i="12"/>
  <c r="P106" i="12"/>
  <c r="P110" i="12"/>
  <c r="T34" i="1"/>
  <c r="M13" i="5"/>
  <c r="M14" i="5"/>
  <c r="G88" i="12"/>
  <c r="E6" i="13"/>
  <c r="Q66" i="1"/>
  <c r="S152" i="12"/>
  <c r="G158" i="7"/>
  <c r="F271" i="7"/>
  <c r="I153" i="7"/>
  <c r="H298" i="7"/>
  <c r="H299" i="7"/>
  <c r="H301" i="7"/>
  <c r="H310" i="7"/>
  <c r="P7" i="5"/>
  <c r="P10" i="5"/>
  <c r="F298" i="7"/>
  <c r="I298" i="7"/>
  <c r="F308" i="7"/>
  <c r="I308" i="7"/>
  <c r="G138" i="7"/>
  <c r="D183" i="7"/>
  <c r="D277" i="7"/>
  <c r="G174" i="7"/>
  <c r="F293" i="7"/>
  <c r="D278" i="7"/>
  <c r="R60" i="12"/>
  <c r="R158" i="12"/>
  <c r="T60" i="12"/>
  <c r="T158" i="12"/>
  <c r="V158" i="12"/>
  <c r="P60" i="12"/>
  <c r="P158" i="12"/>
  <c r="V163" i="12"/>
  <c r="G115" i="12"/>
  <c r="V115" i="12"/>
  <c r="J9" i="12"/>
  <c r="C158" i="12"/>
  <c r="O158" i="12"/>
  <c r="S87" i="12"/>
  <c r="S108" i="12"/>
  <c r="S101" i="12"/>
  <c r="S85" i="12"/>
  <c r="S157" i="12"/>
  <c r="S158" i="12"/>
  <c r="S86" i="12"/>
  <c r="S103" i="12"/>
  <c r="S93" i="12"/>
  <c r="R207" i="12"/>
  <c r="S104" i="12"/>
  <c r="S95" i="12"/>
  <c r="S96" i="12"/>
  <c r="S94" i="12"/>
  <c r="S88" i="12"/>
  <c r="S82" i="12"/>
  <c r="D36" i="7"/>
  <c r="D162" i="7"/>
  <c r="C19" i="13"/>
  <c r="C24" i="13"/>
  <c r="E110" i="12"/>
  <c r="R106" i="12"/>
  <c r="R204" i="12"/>
  <c r="I92" i="7"/>
  <c r="F219" i="7"/>
  <c r="I219" i="7"/>
  <c r="F99" i="7"/>
  <c r="I228" i="7"/>
  <c r="F296" i="7"/>
  <c r="I296" i="7"/>
  <c r="V193" i="12"/>
  <c r="G80" i="12"/>
  <c r="V80" i="12"/>
  <c r="V125" i="12"/>
  <c r="V137" i="12"/>
  <c r="X200" i="12"/>
  <c r="R216" i="12"/>
  <c r="W197" i="12"/>
  <c r="V197" i="12"/>
  <c r="E19" i="13"/>
  <c r="M45" i="13"/>
  <c r="R119" i="12"/>
  <c r="F74" i="7"/>
  <c r="I65" i="7"/>
  <c r="H219" i="7"/>
  <c r="H99" i="7"/>
  <c r="T66" i="12"/>
  <c r="T96" i="12"/>
  <c r="T141" i="12"/>
  <c r="L141" i="12"/>
  <c r="T54" i="12"/>
  <c r="T156" i="12"/>
  <c r="T49" i="12"/>
  <c r="T143" i="12"/>
  <c r="L143" i="12"/>
  <c r="T91" i="12"/>
  <c r="T43" i="12"/>
  <c r="T108" i="12"/>
  <c r="T98" i="12"/>
  <c r="T105" i="12"/>
  <c r="T67" i="12"/>
  <c r="T28" i="12"/>
  <c r="T78" i="12"/>
  <c r="T45" i="12"/>
  <c r="T29" i="12"/>
  <c r="T150" i="12"/>
  <c r="T97" i="12"/>
  <c r="T82" i="12"/>
  <c r="T95" i="12"/>
  <c r="T104" i="12"/>
  <c r="T61" i="12"/>
  <c r="T31" i="12"/>
  <c r="T152" i="12"/>
  <c r="T72" i="12"/>
  <c r="T84" i="12"/>
  <c r="T119" i="12"/>
  <c r="T112" i="12"/>
  <c r="T142" i="12"/>
  <c r="L142" i="12"/>
  <c r="R63" i="12"/>
  <c r="R58" i="12"/>
  <c r="R56" i="12"/>
  <c r="R28" i="12"/>
  <c r="R105" i="12"/>
  <c r="R91" i="12"/>
  <c r="R107" i="12"/>
  <c r="T39" i="12"/>
  <c r="R95" i="12"/>
  <c r="I187" i="7"/>
  <c r="F299" i="7"/>
  <c r="I299" i="7"/>
  <c r="D99" i="7"/>
  <c r="G92" i="7"/>
  <c r="D219" i="7"/>
  <c r="G219" i="7"/>
  <c r="P65" i="12"/>
  <c r="P67" i="12"/>
  <c r="P71" i="12"/>
  <c r="R68" i="12"/>
  <c r="P40" i="12"/>
  <c r="P101" i="12"/>
  <c r="P66" i="12"/>
  <c r="R57" i="12"/>
  <c r="R52" i="12"/>
  <c r="P97" i="12"/>
  <c r="R49" i="12"/>
  <c r="R87" i="12"/>
  <c r="R74" i="12"/>
  <c r="R44" i="12"/>
  <c r="R98" i="12"/>
  <c r="R72" i="12"/>
  <c r="R78" i="12"/>
  <c r="R43" i="12"/>
  <c r="R46" i="12"/>
  <c r="R101" i="12"/>
  <c r="R102" i="12"/>
  <c r="R53" i="12"/>
  <c r="R89" i="12"/>
  <c r="R34" i="12"/>
  <c r="R85" i="12"/>
  <c r="P39" i="12"/>
  <c r="P42" i="12"/>
  <c r="P105" i="12"/>
  <c r="P35" i="12"/>
  <c r="P78" i="12"/>
  <c r="P53" i="12"/>
  <c r="P155" i="12"/>
  <c r="P63" i="12"/>
  <c r="P89" i="12"/>
  <c r="P141" i="12"/>
  <c r="P144" i="12"/>
  <c r="P58" i="12"/>
  <c r="P64" i="12"/>
  <c r="P51" i="12"/>
  <c r="P49" i="12"/>
  <c r="P50" i="12"/>
  <c r="P52" i="12"/>
  <c r="P55" i="12"/>
  <c r="P59" i="12"/>
  <c r="P61" i="12"/>
  <c r="P86" i="12"/>
  <c r="P68" i="12"/>
  <c r="R86" i="12"/>
  <c r="R140" i="12"/>
  <c r="K140" i="12"/>
  <c r="R90" i="12"/>
  <c r="R33" i="12"/>
  <c r="P143" i="12"/>
  <c r="R54" i="12"/>
  <c r="R156" i="12"/>
  <c r="R96" i="12"/>
  <c r="R71" i="12"/>
  <c r="R50" i="12"/>
  <c r="R92" i="12"/>
  <c r="R25" i="12"/>
  <c r="R142" i="12"/>
  <c r="K142" i="12"/>
  <c r="R27" i="12"/>
  <c r="R149" i="12"/>
  <c r="P73" i="12"/>
  <c r="P74" i="12"/>
  <c r="P75" i="12"/>
  <c r="P76" i="12"/>
  <c r="P131" i="12"/>
  <c r="P83" i="12"/>
  <c r="J12" i="12"/>
  <c r="P25" i="12"/>
  <c r="R75" i="12"/>
  <c r="R67" i="12"/>
  <c r="R73" i="12"/>
  <c r="R76" i="12"/>
  <c r="R29" i="12"/>
  <c r="R150" i="12"/>
  <c r="R32" i="12"/>
  <c r="R153" i="12"/>
  <c r="R154" i="12"/>
  <c r="R59" i="12"/>
  <c r="R157" i="12"/>
  <c r="R100" i="12"/>
  <c r="R82" i="12"/>
  <c r="R65" i="12"/>
  <c r="R99" i="12"/>
  <c r="R40" i="12"/>
  <c r="R143" i="12"/>
  <c r="K143" i="12"/>
  <c r="P108" i="12"/>
  <c r="P109" i="12"/>
  <c r="P28" i="12"/>
  <c r="R35" i="12"/>
  <c r="Y180" i="12"/>
  <c r="Y181" i="12"/>
  <c r="P26" i="12"/>
  <c r="P98" i="12"/>
  <c r="P92" i="12"/>
  <c r="P31" i="12"/>
  <c r="P152" i="12"/>
  <c r="P27" i="12"/>
  <c r="P149" i="12"/>
  <c r="P154" i="12"/>
  <c r="R104" i="12"/>
  <c r="R37" i="12"/>
  <c r="R141" i="12"/>
  <c r="K141" i="12"/>
  <c r="R93" i="12"/>
  <c r="R121" i="12"/>
  <c r="R112" i="12"/>
  <c r="R38" i="12"/>
  <c r="R97" i="12"/>
  <c r="P157" i="12"/>
  <c r="P142" i="12"/>
  <c r="P100" i="12"/>
  <c r="P90" i="12"/>
  <c r="P44" i="12"/>
  <c r="P45" i="12"/>
  <c r="P46" i="12"/>
  <c r="P112" i="12"/>
  <c r="R139" i="12"/>
  <c r="K139" i="12"/>
  <c r="R88" i="12"/>
  <c r="R120" i="12"/>
  <c r="P99" i="12"/>
  <c r="C136" i="12"/>
  <c r="O24" i="12"/>
  <c r="R94" i="12"/>
  <c r="R203" i="12"/>
  <c r="I139" i="7"/>
  <c r="F278" i="7"/>
  <c r="F162" i="7"/>
  <c r="F260" i="7"/>
  <c r="F36" i="7"/>
  <c r="G18" i="7"/>
  <c r="D146" i="7"/>
  <c r="G146" i="7"/>
  <c r="P94" i="12"/>
  <c r="H134" i="7"/>
  <c r="H170" i="7"/>
  <c r="H208" i="7"/>
  <c r="E80" i="12"/>
  <c r="R80" i="12"/>
  <c r="R125" i="12"/>
  <c r="R137" i="12"/>
  <c r="R24" i="12"/>
  <c r="B8" i="12"/>
  <c r="R163" i="12"/>
  <c r="E115" i="12"/>
  <c r="R115" i="12"/>
  <c r="F215" i="7"/>
  <c r="I215" i="7"/>
  <c r="I88" i="7"/>
  <c r="D56" i="7"/>
  <c r="G54" i="7"/>
  <c r="R36" i="12"/>
  <c r="R62" i="12"/>
  <c r="R126" i="12"/>
  <c r="P36" i="12"/>
  <c r="T44" i="12"/>
  <c r="T46" i="12"/>
  <c r="D279" i="7"/>
  <c r="G162" i="7"/>
  <c r="I162" i="7"/>
  <c r="F279" i="7"/>
  <c r="R138" i="12"/>
  <c r="P133" i="12"/>
  <c r="F109" i="7"/>
  <c r="F226" i="7"/>
  <c r="I226" i="7"/>
  <c r="D185" i="7"/>
  <c r="G185" i="7"/>
  <c r="D65" i="7"/>
  <c r="G56" i="7"/>
  <c r="G99" i="7"/>
  <c r="D109" i="7"/>
  <c r="D226" i="7"/>
  <c r="G226" i="7"/>
  <c r="T107" i="12"/>
  <c r="T27" i="12"/>
  <c r="T149" i="12"/>
  <c r="T58" i="12"/>
  <c r="T89" i="12"/>
  <c r="T88" i="12"/>
  <c r="T90" i="12"/>
  <c r="T85" i="12"/>
  <c r="T50" i="12"/>
  <c r="T35" i="12"/>
  <c r="T48" i="12"/>
  <c r="T71" i="12"/>
  <c r="T100" i="12"/>
  <c r="T32" i="12"/>
  <c r="T153" i="12"/>
  <c r="T41" i="12"/>
  <c r="T40" i="12"/>
  <c r="T83" i="12"/>
  <c r="F203" i="7"/>
  <c r="I203" i="7"/>
  <c r="I74" i="7"/>
  <c r="I293" i="7"/>
  <c r="Q84" i="12"/>
  <c r="Q103" i="12"/>
  <c r="Q96" i="12"/>
  <c r="Q106" i="12"/>
  <c r="Q85" i="12"/>
  <c r="Q108" i="12"/>
  <c r="Q100" i="12"/>
  <c r="Q104" i="12"/>
  <c r="Q91" i="12"/>
  <c r="Q92" i="12"/>
  <c r="Q94" i="12"/>
  <c r="Q155" i="12"/>
  <c r="Q95" i="12"/>
  <c r="Q93" i="12"/>
  <c r="Q150" i="12"/>
  <c r="Q110" i="12"/>
  <c r="Q89" i="12"/>
  <c r="Q87" i="12"/>
  <c r="Q97" i="12"/>
  <c r="E114" i="12"/>
  <c r="N13" i="5"/>
  <c r="N14" i="5"/>
  <c r="R110" i="12"/>
  <c r="R122" i="12"/>
  <c r="U34" i="1"/>
  <c r="X34" i="1"/>
  <c r="C11" i="13"/>
  <c r="C12" i="13"/>
  <c r="E122" i="12"/>
  <c r="G183" i="7"/>
  <c r="F297" i="7"/>
  <c r="I297" i="7"/>
  <c r="O81" i="12"/>
  <c r="O136" i="12"/>
  <c r="V38" i="12"/>
  <c r="V53" i="12"/>
  <c r="V155" i="12"/>
  <c r="V54" i="12"/>
  <c r="V156" i="12"/>
  <c r="V59" i="12"/>
  <c r="V157" i="12"/>
  <c r="V159" i="12"/>
  <c r="V92" i="12"/>
  <c r="V83" i="12"/>
  <c r="V32" i="12"/>
  <c r="V153" i="12"/>
  <c r="W153" i="12"/>
  <c r="V34" i="12"/>
  <c r="V56" i="12"/>
  <c r="V85" i="12"/>
  <c r="V35" i="12"/>
  <c r="V37" i="12"/>
  <c r="V40" i="12"/>
  <c r="V39" i="12"/>
  <c r="V41" i="12"/>
  <c r="V42" i="12"/>
  <c r="V66" i="12"/>
  <c r="V71" i="12"/>
  <c r="V29" i="12"/>
  <c r="V150" i="12"/>
  <c r="V49" i="12"/>
  <c r="V75" i="12"/>
  <c r="V84" i="12"/>
  <c r="V72" i="12"/>
  <c r="V45" i="12"/>
  <c r="V141" i="12"/>
  <c r="M141" i="12"/>
  <c r="V98" i="12"/>
  <c r="V105" i="12"/>
  <c r="V52" i="12"/>
  <c r="V57" i="12"/>
  <c r="V97" i="12"/>
  <c r="V30" i="12"/>
  <c r="V151" i="12"/>
  <c r="V140" i="12"/>
  <c r="M140" i="12"/>
  <c r="V63" i="12"/>
  <c r="V48" i="12"/>
  <c r="V90" i="12"/>
  <c r="V112" i="12"/>
  <c r="V73" i="12"/>
  <c r="V74" i="12"/>
  <c r="V143" i="12"/>
  <c r="M143" i="12"/>
  <c r="V50" i="12"/>
  <c r="V28" i="12"/>
  <c r="V55" i="12"/>
  <c r="V139" i="12"/>
  <c r="M139" i="12"/>
  <c r="V95" i="12"/>
  <c r="V25" i="12"/>
  <c r="V27" i="12"/>
  <c r="V149" i="12"/>
  <c r="V31" i="12"/>
  <c r="V152" i="12"/>
  <c r="T30" i="12"/>
  <c r="T151" i="12"/>
  <c r="T53" i="12"/>
  <c r="T155" i="12"/>
  <c r="T59" i="12"/>
  <c r="T157" i="12"/>
  <c r="V91" i="12"/>
  <c r="V142" i="12"/>
  <c r="M142" i="12"/>
  <c r="V108" i="12"/>
  <c r="V86" i="12"/>
  <c r="V107" i="12"/>
  <c r="V144" i="12"/>
  <c r="M144" i="12"/>
  <c r="V43" i="12"/>
  <c r="V100" i="12"/>
  <c r="T55" i="12"/>
  <c r="T25" i="12"/>
  <c r="V44" i="12"/>
  <c r="V82" i="12"/>
  <c r="T57" i="12"/>
  <c r="T73" i="12"/>
  <c r="T86" i="12"/>
  <c r="V78" i="12"/>
  <c r="T101" i="12"/>
  <c r="T63" i="12"/>
  <c r="V51" i="12"/>
  <c r="T75" i="12"/>
  <c r="Z186" i="12"/>
  <c r="V104" i="12"/>
  <c r="V26" i="12"/>
  <c r="V102" i="12"/>
  <c r="T37" i="12"/>
  <c r="V65" i="12"/>
  <c r="J14" i="12"/>
  <c r="V68" i="12"/>
  <c r="V61" i="12"/>
  <c r="V33" i="12"/>
  <c r="T38" i="12"/>
  <c r="V67" i="12"/>
  <c r="V96" i="12"/>
  <c r="V60" i="12"/>
  <c r="AA186" i="12"/>
  <c r="T52" i="12"/>
  <c r="V89" i="12"/>
  <c r="V101" i="12"/>
  <c r="V64" i="12"/>
  <c r="T140" i="12"/>
  <c r="L140" i="12"/>
  <c r="V58" i="12"/>
  <c r="G36" i="7"/>
  <c r="D164" i="7"/>
  <c r="G164" i="7"/>
  <c r="F164" i="7"/>
  <c r="I36" i="7"/>
  <c r="T68" i="12"/>
  <c r="Z187" i="12"/>
  <c r="T65" i="12"/>
  <c r="T33" i="12"/>
  <c r="T34" i="12"/>
  <c r="T51" i="12"/>
  <c r="T92" i="12"/>
  <c r="T56" i="12"/>
  <c r="Y169" i="12"/>
  <c r="T144" i="12"/>
  <c r="L144" i="12"/>
  <c r="T74" i="12"/>
  <c r="T76" i="12"/>
  <c r="T102" i="12"/>
  <c r="T64" i="12"/>
  <c r="T26" i="12"/>
  <c r="T139" i="12"/>
  <c r="L139" i="12"/>
  <c r="H226" i="7"/>
  <c r="H109" i="7"/>
  <c r="R118" i="12"/>
  <c r="D236" i="7"/>
  <c r="G236" i="7"/>
  <c r="G109" i="7"/>
  <c r="D114" i="7"/>
  <c r="H114" i="7"/>
  <c r="H236" i="7"/>
  <c r="H269" i="7"/>
  <c r="F301" i="7"/>
  <c r="G65" i="7"/>
  <c r="D74" i="7"/>
  <c r="D194" i="7"/>
  <c r="G194" i="7"/>
  <c r="I109" i="7"/>
  <c r="F114" i="7"/>
  <c r="F236" i="7"/>
  <c r="R209" i="12"/>
  <c r="I164" i="7"/>
  <c r="F270" i="7"/>
  <c r="W92" i="12"/>
  <c r="W150" i="12"/>
  <c r="R109" i="12"/>
  <c r="U155" i="12"/>
  <c r="P62" i="12"/>
  <c r="P126" i="12"/>
  <c r="P47" i="12"/>
  <c r="Q44" i="12"/>
  <c r="F310" i="7"/>
  <c r="I301" i="7"/>
  <c r="H241" i="7"/>
  <c r="H247" i="7"/>
  <c r="H272" i="7"/>
  <c r="H273" i="7"/>
  <c r="H120" i="7"/>
  <c r="Q32" i="12"/>
  <c r="Q36" i="12"/>
  <c r="Q30" i="12"/>
  <c r="Q37" i="12"/>
  <c r="Q43" i="12"/>
  <c r="Q26" i="12"/>
  <c r="Q28" i="12"/>
  <c r="Q35" i="12"/>
  <c r="Q34" i="12"/>
  <c r="F241" i="7"/>
  <c r="I114" i="7"/>
  <c r="F120" i="7"/>
  <c r="I120" i="7"/>
  <c r="F269" i="7"/>
  <c r="I236" i="7"/>
  <c r="D203" i="7"/>
  <c r="G203" i="7"/>
  <c r="G74" i="7"/>
  <c r="D241" i="7"/>
  <c r="G114" i="7"/>
  <c r="D120" i="7"/>
  <c r="G120" i="7"/>
  <c r="F247" i="7"/>
  <c r="I241" i="7"/>
  <c r="G241" i="7"/>
  <c r="D247" i="7"/>
  <c r="G247" i="7"/>
  <c r="I310" i="7"/>
  <c r="O7" i="5"/>
  <c r="O10" i="5"/>
  <c r="I247" i="7"/>
  <c r="F272" i="7"/>
  <c r="F273" i="7"/>
  <c r="W158" i="12"/>
  <c r="W104" i="12"/>
  <c r="W85" i="12"/>
  <c r="E45" i="13"/>
  <c r="G120" i="12"/>
  <c r="G94" i="12"/>
  <c r="G99" i="12"/>
  <c r="G103" i="12"/>
  <c r="G106" i="12"/>
  <c r="V119" i="12"/>
  <c r="W105" i="12"/>
  <c r="W86" i="12"/>
  <c r="W156" i="12"/>
  <c r="W152" i="12"/>
  <c r="G45" i="13"/>
  <c r="Z33" i="1"/>
  <c r="S33" i="1"/>
  <c r="W96" i="12"/>
  <c r="W101" i="12"/>
  <c r="W95" i="12"/>
  <c r="W151" i="12"/>
  <c r="V99" i="12"/>
  <c r="W99" i="12"/>
  <c r="W93" i="12"/>
  <c r="V207" i="12"/>
  <c r="W89" i="12"/>
  <c r="W84" i="12"/>
  <c r="V94" i="12"/>
  <c r="V203" i="12"/>
  <c r="D45" i="13"/>
  <c r="F121" i="12"/>
  <c r="T93" i="12"/>
  <c r="T121" i="12"/>
  <c r="G121" i="12"/>
  <c r="F94" i="12"/>
  <c r="F99" i="12"/>
  <c r="G111" i="12"/>
  <c r="D17" i="5"/>
  <c r="V206" i="12"/>
  <c r="I19" i="5"/>
  <c r="V46" i="12"/>
  <c r="H7" i="5"/>
  <c r="H12" i="5"/>
  <c r="H19" i="5"/>
  <c r="H14" i="1"/>
  <c r="H30" i="1"/>
  <c r="O63" i="1"/>
  <c r="G47" i="12"/>
  <c r="E25" i="13"/>
  <c r="Q45" i="13"/>
  <c r="G78" i="12"/>
  <c r="F111" i="12"/>
  <c r="D25" i="13"/>
  <c r="F47" i="12"/>
  <c r="R202" i="12"/>
  <c r="Y202" i="12"/>
  <c r="T138" i="12"/>
  <c r="T185" i="12"/>
  <c r="C15" i="13"/>
  <c r="C26" i="13"/>
  <c r="R146" i="12"/>
  <c r="K146" i="12"/>
  <c r="M138" i="12"/>
  <c r="V148" i="12"/>
  <c r="Q31" i="12"/>
  <c r="Q27" i="12"/>
  <c r="Q42" i="12"/>
  <c r="Q39" i="12"/>
  <c r="Q33" i="12"/>
  <c r="V76" i="12"/>
  <c r="V117" i="12"/>
  <c r="V69" i="12"/>
  <c r="Y170" i="12"/>
  <c r="Y186" i="12"/>
  <c r="P69" i="12"/>
  <c r="P159" i="12"/>
  <c r="P160" i="12"/>
  <c r="AA187" i="12"/>
  <c r="AA188" i="12"/>
  <c r="T42" i="12"/>
  <c r="Z188" i="12"/>
  <c r="T69" i="12"/>
  <c r="Y168" i="12"/>
  <c r="S154" i="12"/>
  <c r="P132" i="12"/>
  <c r="Q29" i="12"/>
  <c r="Q25" i="12"/>
  <c r="Q40" i="12"/>
  <c r="V36" i="12"/>
  <c r="V88" i="12"/>
  <c r="R69" i="12"/>
  <c r="S159" i="12"/>
  <c r="P5" i="5"/>
  <c r="U85" i="12"/>
  <c r="U89" i="12"/>
  <c r="U86" i="12"/>
  <c r="U153" i="12"/>
  <c r="U91" i="12"/>
  <c r="U92" i="12"/>
  <c r="U156" i="12"/>
  <c r="U82" i="12"/>
  <c r="U105" i="12"/>
  <c r="U84" i="12"/>
  <c r="U102" i="12"/>
  <c r="U96" i="12"/>
  <c r="U101" i="12"/>
  <c r="U83" i="12"/>
  <c r="V118" i="12"/>
  <c r="U97" i="12"/>
  <c r="U158" i="12"/>
  <c r="U100" i="12"/>
  <c r="U108" i="12"/>
  <c r="U150" i="12"/>
  <c r="U107" i="12"/>
  <c r="U104" i="12"/>
  <c r="U98" i="12"/>
  <c r="U95" i="12"/>
  <c r="U157" i="12"/>
  <c r="U151" i="12"/>
  <c r="T118" i="12"/>
  <c r="U152" i="12"/>
  <c r="U149" i="12"/>
  <c r="T154" i="12"/>
  <c r="T159" i="12"/>
  <c r="T160" i="12"/>
  <c r="U160" i="12"/>
  <c r="T87" i="12"/>
  <c r="U87" i="12"/>
  <c r="R195" i="12"/>
  <c r="P129" i="12"/>
  <c r="T148" i="12"/>
  <c r="L138" i="12"/>
  <c r="U88" i="12"/>
  <c r="U90" i="12"/>
  <c r="T202" i="12"/>
  <c r="D15" i="13"/>
  <c r="D26" i="13"/>
  <c r="V138" i="12"/>
  <c r="V185" i="12"/>
  <c r="T117" i="12"/>
  <c r="T146" i="12"/>
  <c r="T133" i="12"/>
  <c r="V202" i="12"/>
  <c r="E15" i="13"/>
  <c r="Q45" i="12"/>
  <c r="Q47" i="12"/>
  <c r="Q41" i="12"/>
  <c r="P130" i="12"/>
  <c r="Q46" i="12"/>
  <c r="Q38" i="12"/>
  <c r="V133" i="12"/>
  <c r="Z180" i="12"/>
  <c r="Z181" i="12"/>
  <c r="AA180" i="12"/>
  <c r="AA181" i="12"/>
  <c r="V62" i="12"/>
  <c r="T211" i="12"/>
  <c r="T120" i="12"/>
  <c r="V120" i="12"/>
  <c r="R185" i="12"/>
  <c r="R148" i="12"/>
  <c r="K138" i="12"/>
  <c r="Y187" i="12"/>
  <c r="Y188" i="12"/>
  <c r="W102" i="12"/>
  <c r="W157" i="12"/>
  <c r="W83" i="12"/>
  <c r="V154" i="12"/>
  <c r="V160" i="12"/>
  <c r="W160" i="12"/>
  <c r="W100" i="12"/>
  <c r="W82" i="12"/>
  <c r="W108" i="12"/>
  <c r="W91" i="12"/>
  <c r="W155" i="12"/>
  <c r="V87" i="12"/>
  <c r="W87" i="12"/>
  <c r="W149" i="12"/>
  <c r="W97" i="12"/>
  <c r="W88" i="12"/>
  <c r="W90" i="12"/>
  <c r="W98" i="12"/>
  <c r="W107" i="12"/>
  <c r="R117" i="12"/>
  <c r="Q101" i="12"/>
  <c r="Q160" i="12"/>
  <c r="Q82" i="12"/>
  <c r="Q107" i="12"/>
  <c r="Q105" i="12"/>
  <c r="Q86" i="12"/>
  <c r="Q158" i="12"/>
  <c r="Q102" i="12"/>
  <c r="Q90" i="12"/>
  <c r="Q152" i="12"/>
  <c r="Q88" i="12"/>
  <c r="Q151" i="12"/>
  <c r="Q153" i="12"/>
  <c r="Q157" i="12"/>
  <c r="Q109" i="12"/>
  <c r="Q156" i="12"/>
  <c r="Q99" i="12"/>
  <c r="Q98" i="12"/>
  <c r="Q83" i="12"/>
  <c r="Q149" i="12"/>
  <c r="R155" i="12"/>
  <c r="R159" i="12"/>
  <c r="R160" i="12"/>
  <c r="R161" i="12"/>
  <c r="T36" i="12"/>
  <c r="R42" i="12"/>
  <c r="R47" i="12"/>
  <c r="T62" i="12"/>
  <c r="T70" i="12"/>
  <c r="R131" i="12"/>
  <c r="R211" i="12"/>
  <c r="R133" i="12"/>
  <c r="V103" i="12"/>
  <c r="V128" i="12"/>
  <c r="W94" i="12"/>
  <c r="E7" i="13"/>
  <c r="E23" i="13"/>
  <c r="V121" i="12"/>
  <c r="W154" i="12"/>
  <c r="V106" i="12"/>
  <c r="G110" i="12"/>
  <c r="U93" i="12"/>
  <c r="T207" i="12"/>
  <c r="F103" i="12"/>
  <c r="T99" i="12"/>
  <c r="U99" i="12"/>
  <c r="T94" i="12"/>
  <c r="D23" i="13"/>
  <c r="D7" i="13"/>
  <c r="V211" i="12"/>
  <c r="V146" i="12"/>
  <c r="V126" i="12"/>
  <c r="V209" i="12"/>
  <c r="Q63" i="1"/>
  <c r="T161" i="12"/>
  <c r="H31" i="5"/>
  <c r="H40" i="5"/>
  <c r="H42" i="5"/>
  <c r="O14" i="1"/>
  <c r="O30" i="1"/>
  <c r="O65" i="1"/>
  <c r="Q65" i="1"/>
  <c r="E21" i="13"/>
  <c r="G116" i="12"/>
  <c r="I31" i="5"/>
  <c r="I40" i="5"/>
  <c r="I42" i="5"/>
  <c r="F116" i="12"/>
  <c r="D21" i="13"/>
  <c r="F78" i="12"/>
  <c r="G113" i="12"/>
  <c r="F113" i="12"/>
  <c r="U159" i="12"/>
  <c r="V47" i="12"/>
  <c r="Q159" i="12"/>
  <c r="R145" i="12"/>
  <c r="K145" i="12"/>
  <c r="V129" i="12"/>
  <c r="V70" i="12"/>
  <c r="V77" i="12"/>
  <c r="T77" i="12"/>
  <c r="T212" i="12"/>
  <c r="T127" i="12"/>
  <c r="S47" i="12"/>
  <c r="S29" i="12"/>
  <c r="S35" i="12"/>
  <c r="S30" i="12"/>
  <c r="S28" i="12"/>
  <c r="S38" i="12"/>
  <c r="S34" i="12"/>
  <c r="S42" i="12"/>
  <c r="S25" i="12"/>
  <c r="S40" i="12"/>
  <c r="R132" i="12"/>
  <c r="S44" i="12"/>
  <c r="R130" i="12"/>
  <c r="S39" i="12"/>
  <c r="S27" i="12"/>
  <c r="R201" i="12"/>
  <c r="Y201" i="12"/>
  <c r="S31" i="12"/>
  <c r="S43" i="12"/>
  <c r="S26" i="12"/>
  <c r="R116" i="12"/>
  <c r="S37" i="12"/>
  <c r="S36" i="12"/>
  <c r="S41" i="12"/>
  <c r="S33" i="12"/>
  <c r="S45" i="12"/>
  <c r="S46" i="12"/>
  <c r="S32" i="12"/>
  <c r="Q154" i="12"/>
  <c r="AC202" i="12"/>
  <c r="V195" i="12"/>
  <c r="L146" i="12"/>
  <c r="AA202" i="12"/>
  <c r="T195" i="12"/>
  <c r="E26" i="13"/>
  <c r="S45" i="13"/>
  <c r="K45" i="13"/>
  <c r="J45" i="13"/>
  <c r="T129" i="12"/>
  <c r="T126" i="12"/>
  <c r="T209" i="12"/>
  <c r="T47" i="12"/>
  <c r="U154" i="12"/>
  <c r="R129" i="12"/>
  <c r="R70" i="12"/>
  <c r="W159" i="12"/>
  <c r="P70" i="12"/>
  <c r="W103" i="12"/>
  <c r="E24" i="13"/>
  <c r="R45" i="13"/>
  <c r="E8" i="13"/>
  <c r="P13" i="5"/>
  <c r="P14" i="5"/>
  <c r="V110" i="12"/>
  <c r="W34" i="1"/>
  <c r="C24" i="5"/>
  <c r="C26" i="5"/>
  <c r="L14" i="1"/>
  <c r="L30" i="1"/>
  <c r="O64" i="1"/>
  <c r="E11" i="13"/>
  <c r="G114" i="12"/>
  <c r="V204" i="12"/>
  <c r="W106" i="12"/>
  <c r="D24" i="13"/>
  <c r="D8" i="13"/>
  <c r="T103" i="12"/>
  <c r="U103" i="12"/>
  <c r="F106" i="12"/>
  <c r="T203" i="12"/>
  <c r="U94" i="12"/>
  <c r="V127" i="12"/>
  <c r="M146" i="12"/>
  <c r="V161" i="12"/>
  <c r="V132" i="12"/>
  <c r="W26" i="12"/>
  <c r="W38" i="12"/>
  <c r="W33" i="12"/>
  <c r="W35" i="12"/>
  <c r="W44" i="12"/>
  <c r="W40" i="12"/>
  <c r="W43" i="12"/>
  <c r="W27" i="12"/>
  <c r="W42" i="12"/>
  <c r="W29" i="12"/>
  <c r="W28" i="12"/>
  <c r="W25" i="12"/>
  <c r="W36" i="12"/>
  <c r="W34" i="12"/>
  <c r="V201" i="12"/>
  <c r="AC201" i="12"/>
  <c r="W32" i="12"/>
  <c r="W41" i="12"/>
  <c r="W39" i="12"/>
  <c r="W31" i="12"/>
  <c r="W45" i="12"/>
  <c r="W30" i="12"/>
  <c r="W47" i="12"/>
  <c r="W37" i="12"/>
  <c r="W46" i="12"/>
  <c r="U33" i="12"/>
  <c r="U38" i="12"/>
  <c r="T116" i="12"/>
  <c r="U37" i="12"/>
  <c r="U35" i="12"/>
  <c r="U34" i="12"/>
  <c r="U36" i="12"/>
  <c r="U28" i="12"/>
  <c r="U44" i="12"/>
  <c r="U29" i="12"/>
  <c r="U46" i="12"/>
  <c r="U40" i="12"/>
  <c r="T201" i="12"/>
  <c r="AA201" i="12"/>
  <c r="T132" i="12"/>
  <c r="U42" i="12"/>
  <c r="U45" i="12"/>
  <c r="U43" i="12"/>
  <c r="U25" i="12"/>
  <c r="U32" i="12"/>
  <c r="U27" i="12"/>
  <c r="U39" i="12"/>
  <c r="V116" i="12"/>
  <c r="U47" i="12"/>
  <c r="U26" i="12"/>
  <c r="U31" i="12"/>
  <c r="U41" i="12"/>
  <c r="U30" i="12"/>
  <c r="W73" i="12"/>
  <c r="W69" i="12"/>
  <c r="V166" i="12"/>
  <c r="W70" i="12"/>
  <c r="W48" i="12"/>
  <c r="W75" i="12"/>
  <c r="W60" i="12"/>
  <c r="W53" i="12"/>
  <c r="W72" i="12"/>
  <c r="V180" i="12"/>
  <c r="V176" i="12"/>
  <c r="W58" i="12"/>
  <c r="V182" i="12"/>
  <c r="W64" i="12"/>
  <c r="V175" i="12"/>
  <c r="W49" i="12"/>
  <c r="W51" i="12"/>
  <c r="W129" i="12"/>
  <c r="V189" i="12"/>
  <c r="V177" i="12"/>
  <c r="V187" i="12"/>
  <c r="W63" i="12"/>
  <c r="W57" i="12"/>
  <c r="W52" i="12"/>
  <c r="W55" i="12"/>
  <c r="V213" i="12"/>
  <c r="V169" i="12"/>
  <c r="W66" i="12"/>
  <c r="W54" i="12"/>
  <c r="W74" i="12"/>
  <c r="V178" i="12"/>
  <c r="W61" i="12"/>
  <c r="V183" i="12"/>
  <c r="W68" i="12"/>
  <c r="W50" i="12"/>
  <c r="V173" i="12"/>
  <c r="W77" i="12"/>
  <c r="W59" i="12"/>
  <c r="W71" i="12"/>
  <c r="V172" i="12"/>
  <c r="V168" i="12"/>
  <c r="W56" i="12"/>
  <c r="V184" i="12"/>
  <c r="W67" i="12"/>
  <c r="V164" i="12"/>
  <c r="W65" i="12"/>
  <c r="V179" i="12"/>
  <c r="W62" i="12"/>
  <c r="W76" i="12"/>
  <c r="V170" i="12"/>
  <c r="R127" i="12"/>
  <c r="R77" i="12"/>
  <c r="R212" i="12"/>
  <c r="P77" i="12"/>
  <c r="P127" i="12"/>
  <c r="V212" i="12"/>
  <c r="T175" i="12"/>
  <c r="T168" i="12"/>
  <c r="U70" i="12"/>
  <c r="U57" i="12"/>
  <c r="U59" i="12"/>
  <c r="U73" i="12"/>
  <c r="T177" i="12"/>
  <c r="T187" i="12"/>
  <c r="U75" i="12"/>
  <c r="U64" i="12"/>
  <c r="U77" i="12"/>
  <c r="T176" i="12"/>
  <c r="U52" i="12"/>
  <c r="U56" i="12"/>
  <c r="T170" i="12"/>
  <c r="U53" i="12"/>
  <c r="U49" i="12"/>
  <c r="U69" i="12"/>
  <c r="T213" i="12"/>
  <c r="U67" i="12"/>
  <c r="U76" i="12"/>
  <c r="U71" i="12"/>
  <c r="T169" i="12"/>
  <c r="U55" i="12"/>
  <c r="T178" i="12"/>
  <c r="U58" i="12"/>
  <c r="U48" i="12"/>
  <c r="U68" i="12"/>
  <c r="U63" i="12"/>
  <c r="U61" i="12"/>
  <c r="T184" i="12"/>
  <c r="U51" i="12"/>
  <c r="T166" i="12"/>
  <c r="T172" i="12"/>
  <c r="T183" i="12"/>
  <c r="U62" i="12"/>
  <c r="T189" i="12"/>
  <c r="T179" i="12"/>
  <c r="T180" i="12"/>
  <c r="U54" i="12"/>
  <c r="U129" i="12"/>
  <c r="U72" i="12"/>
  <c r="U74" i="12"/>
  <c r="U50" i="12"/>
  <c r="T173" i="12"/>
  <c r="U60" i="12"/>
  <c r="U65" i="12"/>
  <c r="U66" i="12"/>
  <c r="T182" i="12"/>
  <c r="V109" i="12"/>
  <c r="W110" i="12"/>
  <c r="V208" i="12"/>
  <c r="V131" i="12"/>
  <c r="H45" i="13"/>
  <c r="E12" i="13"/>
  <c r="V130" i="12"/>
  <c r="Q64" i="1"/>
  <c r="Q73" i="1"/>
  <c r="O73" i="1"/>
  <c r="B18" i="3"/>
  <c r="V145" i="12"/>
  <c r="T164" i="12"/>
  <c r="F110" i="12"/>
  <c r="T106" i="12"/>
  <c r="S64" i="12"/>
  <c r="S63" i="12"/>
  <c r="S48" i="12"/>
  <c r="R170" i="12"/>
  <c r="S65" i="12"/>
  <c r="S61" i="12"/>
  <c r="S76" i="12"/>
  <c r="S77" i="12"/>
  <c r="R168" i="12"/>
  <c r="R186" i="12"/>
  <c r="R165" i="12"/>
  <c r="R183" i="12"/>
  <c r="S66" i="12"/>
  <c r="R182" i="12"/>
  <c r="S55" i="12"/>
  <c r="R179" i="12"/>
  <c r="S54" i="12"/>
  <c r="S56" i="12"/>
  <c r="R187" i="12"/>
  <c r="S50" i="12"/>
  <c r="R184" i="12"/>
  <c r="S73" i="12"/>
  <c r="R169" i="12"/>
  <c r="S52" i="12"/>
  <c r="R173" i="12"/>
  <c r="S53" i="12"/>
  <c r="S69" i="12"/>
  <c r="S51" i="12"/>
  <c r="R176" i="12"/>
  <c r="R177" i="12"/>
  <c r="S60" i="12"/>
  <c r="S72" i="12"/>
  <c r="R213" i="12"/>
  <c r="R180" i="12"/>
  <c r="S58" i="12"/>
  <c r="R166" i="12"/>
  <c r="S67" i="12"/>
  <c r="R172" i="12"/>
  <c r="S75" i="12"/>
  <c r="S57" i="12"/>
  <c r="S68" i="12"/>
  <c r="S74" i="12"/>
  <c r="S49" i="12"/>
  <c r="S129" i="12"/>
  <c r="S71" i="12"/>
  <c r="R189" i="12"/>
  <c r="S59" i="12"/>
  <c r="R164" i="12"/>
  <c r="R167" i="12"/>
  <c r="R175" i="12"/>
  <c r="S70" i="12"/>
  <c r="S62" i="12"/>
  <c r="R178" i="12"/>
  <c r="E13" i="13"/>
  <c r="Q70" i="12"/>
  <c r="Q76" i="12"/>
  <c r="Q69" i="12"/>
  <c r="Q62" i="12"/>
  <c r="Q129" i="12"/>
  <c r="Q51" i="12"/>
  <c r="Q56" i="12"/>
  <c r="Q52" i="12"/>
  <c r="Q75" i="12"/>
  <c r="Q58" i="12"/>
  <c r="Q74" i="12"/>
  <c r="Q77" i="12"/>
  <c r="Q63" i="12"/>
  <c r="Q67" i="12"/>
  <c r="Q71" i="12"/>
  <c r="Q55" i="12"/>
  <c r="Q48" i="12"/>
  <c r="Q57" i="12"/>
  <c r="Q73" i="12"/>
  <c r="Q61" i="12"/>
  <c r="Q60" i="12"/>
  <c r="Q50" i="12"/>
  <c r="Q53" i="12"/>
  <c r="Q72" i="12"/>
  <c r="Q64" i="12"/>
  <c r="Q54" i="12"/>
  <c r="Q68" i="12"/>
  <c r="Q66" i="12"/>
  <c r="Q49" i="12"/>
  <c r="Q65" i="12"/>
  <c r="Q59" i="12"/>
  <c r="D13" i="13"/>
  <c r="J7" i="3"/>
  <c r="J15" i="3"/>
  <c r="J14" i="3"/>
  <c r="J9" i="3"/>
  <c r="J6" i="3"/>
  <c r="J10" i="3"/>
  <c r="J11" i="3"/>
  <c r="J12" i="3"/>
  <c r="J16" i="3"/>
  <c r="J13" i="3"/>
  <c r="J8" i="3"/>
  <c r="M145" i="12"/>
  <c r="V186" i="12"/>
  <c r="W109" i="12"/>
  <c r="V165" i="12"/>
  <c r="V167" i="12"/>
  <c r="V171" i="12"/>
  <c r="V174" i="12"/>
  <c r="V181" i="12"/>
  <c r="V188" i="12"/>
  <c r="T204" i="12"/>
  <c r="U106" i="12"/>
  <c r="D11" i="13"/>
  <c r="O13" i="5"/>
  <c r="O14" i="5"/>
  <c r="G122" i="12"/>
  <c r="V34" i="1"/>
  <c r="D24" i="5"/>
  <c r="D26" i="5"/>
  <c r="T110" i="12"/>
  <c r="F122" i="12"/>
  <c r="F114" i="12"/>
  <c r="R171" i="12"/>
  <c r="R174" i="12"/>
  <c r="R181" i="12"/>
  <c r="R214" i="12"/>
  <c r="R188" i="12"/>
  <c r="C13" i="13"/>
  <c r="D20" i="3"/>
  <c r="I12" i="13"/>
  <c r="D26" i="3"/>
  <c r="D28" i="3"/>
  <c r="V122" i="12"/>
  <c r="T122" i="12"/>
  <c r="T131" i="12"/>
  <c r="T109" i="12"/>
  <c r="U110" i="12"/>
  <c r="T208" i="12"/>
  <c r="T145" i="12"/>
  <c r="T130" i="12"/>
  <c r="D12" i="13"/>
  <c r="I45" i="13"/>
  <c r="Z34" i="1"/>
  <c r="Y34" i="1"/>
  <c r="B45" i="13"/>
  <c r="I33" i="13"/>
  <c r="S34" i="1"/>
  <c r="S35" i="1"/>
  <c r="S14" i="1"/>
  <c r="S30" i="1"/>
  <c r="L145" i="12"/>
  <c r="T186" i="12"/>
  <c r="U109" i="12"/>
  <c r="T165" i="12"/>
  <c r="T167" i="12"/>
  <c r="K36" i="13"/>
  <c r="I34" i="13"/>
  <c r="I36" i="13"/>
  <c r="K27" i="13"/>
  <c r="K35" i="13"/>
  <c r="K28" i="13"/>
  <c r="T214" i="12"/>
  <c r="T171" i="12"/>
  <c r="T174" i="12"/>
  <c r="T181" i="12"/>
  <c r="T188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PardonoS</author>
  </authors>
  <commentList>
    <comment ref="D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Digite a quantidade de meses do período anterior</t>
        </r>
      </text>
    </comment>
    <comment ref="F7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Digite a quantidade de meses do período anterior</t>
        </r>
      </text>
    </comment>
    <comment ref="H7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Digite a quantidade de meses do período anterior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Louis Dreyfus Corporation</author>
  </authors>
  <commentList>
    <comment ref="C8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D8" authorId="0" shapeId="0" xr:uid="{00000000-0006-0000-0300-000002000000}">
      <text>
        <r>
          <rPr>
            <sz val="8"/>
            <color indexed="81"/>
            <rFont val="Tahoma"/>
            <family val="2"/>
          </rPr>
          <t xml:space="preserve"> Input as Negative
</t>
        </r>
      </text>
    </comment>
    <comment ref="H8" authorId="0" shapeId="0" xr:uid="{00000000-0006-0000-0300-000003000000}">
      <text>
        <r>
          <rPr>
            <sz val="8"/>
            <color indexed="81"/>
            <rFont val="Tahoma"/>
            <family val="2"/>
          </rPr>
          <t>includes interest to related parties and interest other</t>
        </r>
      </text>
    </comment>
    <comment ref="C9" authorId="0" shapeId="0" xr:uid="{00000000-0006-0000-0300-000004000000}">
      <text>
        <r>
          <rPr>
            <sz val="8"/>
            <color indexed="81"/>
            <rFont val="Tahoma"/>
            <family val="2"/>
          </rPr>
          <t xml:space="preserve"> Input as Negative
</t>
        </r>
      </text>
    </comment>
    <comment ref="D9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C10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D10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C11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D11" authorId="0" shapeId="0" xr:uid="{00000000-0006-0000-0300-000009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C1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D12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C1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D1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C14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D14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C15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D15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G15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Analyst must deduct out of current liabilities any accruals that he deems are not a real reflection of the company's expenses</t>
        </r>
      </text>
    </comment>
    <comment ref="H15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input as negative</t>
        </r>
      </text>
    </comment>
    <comment ref="I15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input as negative
</t>
        </r>
      </text>
    </comment>
    <comment ref="G16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Analyst must deduct out of current liabilities any accruals that he deems are not a real reflection of the company's expenses</t>
        </r>
      </text>
    </comment>
    <comment ref="H16" authorId="0" shapeId="0" xr:uid="{00000000-0006-0000-0300-000016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input as negative</t>
        </r>
      </text>
    </comment>
    <comment ref="I16" authorId="0" shapeId="0" xr:uid="{00000000-0006-0000-0300-000017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input as negative</t>
        </r>
      </text>
    </comment>
    <comment ref="H32" authorId="0" shapeId="0" xr:uid="{00000000-0006-0000-0300-000018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I32" authorId="0" shapeId="0" xr:uid="{00000000-0006-0000-0300-000019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H33" authorId="0" shapeId="0" xr:uid="{00000000-0006-0000-0300-00001A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I33" authorId="0" shapeId="0" xr:uid="{00000000-0006-0000-0300-00001B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H34" authorId="0" shapeId="0" xr:uid="{00000000-0006-0000-0300-00001C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I34" authorId="0" shapeId="0" xr:uid="{00000000-0006-0000-0300-00001D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H35" authorId="0" shapeId="0" xr:uid="{00000000-0006-0000-0300-00001E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I35" authorId="0" shapeId="0" xr:uid="{00000000-0006-0000-0300-00001F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H36" authorId="0" shapeId="0" xr:uid="{00000000-0006-0000-0300-000020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I36" authorId="0" shapeId="0" xr:uid="{00000000-0006-0000-0300-000021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H37" authorId="0" shapeId="0" xr:uid="{00000000-0006-0000-0300-000022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I37" authorId="0" shapeId="0" xr:uid="{00000000-0006-0000-0300-000023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H38" authorId="0" shapeId="0" xr:uid="{00000000-0006-0000-0300-000024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I38" authorId="0" shapeId="0" xr:uid="{00000000-0006-0000-0300-000025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H39" authorId="0" shapeId="0" xr:uid="{00000000-0006-0000-0300-000026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  <comment ref="I39" authorId="0" shapeId="0" xr:uid="{00000000-0006-0000-0300-000027000000}">
      <text>
        <r>
          <rPr>
            <b/>
            <sz val="8"/>
            <color indexed="81"/>
            <rFont val="Tahoma"/>
            <family val="2"/>
          </rPr>
          <t>Louis Dreyfus Corporation:</t>
        </r>
        <r>
          <rPr>
            <sz val="8"/>
            <color indexed="81"/>
            <rFont val="Tahoma"/>
            <family val="2"/>
          </rPr>
          <t xml:space="preserve">
 Input as Negative
</t>
        </r>
      </text>
    </comment>
  </commentList>
</comments>
</file>

<file path=xl/sharedStrings.xml><?xml version="1.0" encoding="utf-8"?>
<sst xmlns="http://schemas.openxmlformats.org/spreadsheetml/2006/main" count="1248" uniqueCount="915">
  <si>
    <t>3.  PROFITABILITY</t>
  </si>
  <si>
    <t>(net profit after tax/sales)</t>
  </si>
  <si>
    <t>gross cash flow - interest and dividends</t>
  </si>
  <si>
    <t>sales</t>
  </si>
  <si>
    <t>net profit after tax</t>
  </si>
  <si>
    <t>16-18</t>
  </si>
  <si>
    <t>0-3</t>
  </si>
  <si>
    <t>12-15</t>
  </si>
  <si>
    <t>8-11</t>
  </si>
  <si>
    <t>4-7</t>
  </si>
  <si>
    <t>Sales</t>
  </si>
  <si>
    <t>Total</t>
  </si>
  <si>
    <t>Year -3</t>
  </si>
  <si>
    <t>Year -2</t>
  </si>
  <si>
    <t>Year -1</t>
  </si>
  <si>
    <t>Year 0</t>
  </si>
  <si>
    <t>Top Quartile</t>
  </si>
  <si>
    <t>2nd Quartile</t>
  </si>
  <si>
    <t>3rd Quartile</t>
  </si>
  <si>
    <t>4th Quartile</t>
  </si>
  <si>
    <t xml:space="preserve">8. Identify peer group &amp; give reasons for </t>
  </si>
  <si>
    <t>quartile scored.</t>
  </si>
  <si>
    <t>8. BENCHMARKING</t>
  </si>
  <si>
    <t>5.  EXPLANATION OF POINT ALLOCATION</t>
  </si>
  <si>
    <t>For each item, allot marks out of a possible 6</t>
  </si>
  <si>
    <t>Country</t>
  </si>
  <si>
    <t>Argentina</t>
  </si>
  <si>
    <t>Australia</t>
  </si>
  <si>
    <t>Austria</t>
  </si>
  <si>
    <t>Bahamas</t>
  </si>
  <si>
    <t>Bahrain</t>
  </si>
  <si>
    <t>Belarus</t>
  </si>
  <si>
    <t>Belgium</t>
  </si>
  <si>
    <t>Bolivia</t>
  </si>
  <si>
    <t>Botswana</t>
  </si>
  <si>
    <t>Brazil</t>
  </si>
  <si>
    <t>Bulgaria</t>
  </si>
  <si>
    <t>Burkina Faso</t>
  </si>
  <si>
    <t>Cameroon</t>
  </si>
  <si>
    <t>Canada</t>
  </si>
  <si>
    <t>Chile</t>
  </si>
  <si>
    <t>Costa Rica</t>
  </si>
  <si>
    <t>Croatia</t>
  </si>
  <si>
    <t>Cyprus</t>
  </si>
  <si>
    <t>Czech Republic</t>
  </si>
  <si>
    <t>Denmark</t>
  </si>
  <si>
    <t>Ecuador</t>
  </si>
  <si>
    <t>Egypt</t>
  </si>
  <si>
    <t>El Salvador</t>
  </si>
  <si>
    <t>Estonia</t>
  </si>
  <si>
    <t>Finland</t>
  </si>
  <si>
    <t>France</t>
  </si>
  <si>
    <t>Germany</t>
  </si>
  <si>
    <t>Ghana</t>
  </si>
  <si>
    <t>Greece</t>
  </si>
  <si>
    <t>Guatemala</t>
  </si>
  <si>
    <t>Hungary</t>
  </si>
  <si>
    <t>Iceland</t>
  </si>
  <si>
    <t>India</t>
  </si>
  <si>
    <t>Indonesia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</si>
  <si>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</si>
  <si>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</si>
  <si>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</si>
  <si>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</si>
  <si>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</si>
  <si>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</si>
  <si>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</si>
  <si>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</si>
  <si>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Kuwait</t>
  </si>
  <si>
    <t>Latvia</t>
  </si>
  <si>
    <t>Lebanon</t>
  </si>
  <si>
    <t>Lithuania</t>
  </si>
  <si>
    <t>Luxembourg</t>
  </si>
  <si>
    <t>Madagascar</t>
  </si>
  <si>
    <t>Malaysia</t>
  </si>
  <si>
    <t>Mali</t>
  </si>
  <si>
    <t>Malta</t>
  </si>
  <si>
    <t>Mexico</t>
  </si>
  <si>
    <t>Mongolia</t>
  </si>
  <si>
    <t>Morocco</t>
  </si>
  <si>
    <t>Mozambique</t>
  </si>
  <si>
    <t>Netherlands</t>
  </si>
  <si>
    <t>New Zealand</t>
  </si>
  <si>
    <t>Nigeria</t>
  </si>
  <si>
    <t>Norway</t>
  </si>
  <si>
    <t>Pakistan</t>
  </si>
  <si>
    <t>Panama</t>
  </si>
  <si>
    <t>Papua New Guinea</t>
  </si>
  <si>
    <t>Paraguay</t>
  </si>
  <si>
    <t>Peru</t>
  </si>
  <si>
    <t>Poland</t>
  </si>
  <si>
    <t>Portugal</t>
  </si>
  <si>
    <t>Qatar</t>
  </si>
  <si>
    <t>Romania</t>
  </si>
  <si>
    <t>Saudi Arabia</t>
  </si>
  <si>
    <t>Senegal</t>
  </si>
  <si>
    <t>Slovenia</t>
  </si>
  <si>
    <t>South Africa</t>
  </si>
  <si>
    <t>Spain</t>
  </si>
  <si>
    <t>Sri Lanka</t>
  </si>
  <si>
    <t>Suriname</t>
  </si>
  <si>
    <t>Sweden</t>
  </si>
  <si>
    <t>Switzerland</t>
  </si>
  <si>
    <t>Taiwan</t>
  </si>
  <si>
    <t>Thailand</t>
  </si>
  <si>
    <t>Tunisia</t>
  </si>
  <si>
    <t>Turkey</t>
  </si>
  <si>
    <t>Ukraine</t>
  </si>
  <si>
    <t>United Kingdom</t>
  </si>
  <si>
    <t>United States</t>
  </si>
  <si>
    <t>Uruguay</t>
  </si>
  <si>
    <t>Venezuela</t>
  </si>
  <si>
    <t>Vietnam</t>
  </si>
  <si>
    <t>SCORE</t>
  </si>
  <si>
    <t>CREDIT</t>
  </si>
  <si>
    <t>S&amp;P</t>
  </si>
  <si>
    <t>MOODYS</t>
  </si>
  <si>
    <t>GRADE</t>
  </si>
  <si>
    <t>RATINGS</t>
  </si>
  <si>
    <t>Baa3</t>
  </si>
  <si>
    <t>BB+/BB</t>
  </si>
  <si>
    <t>Ba1/Ba2</t>
  </si>
  <si>
    <t>BB-</t>
  </si>
  <si>
    <t>Ba3</t>
  </si>
  <si>
    <t>B+</t>
  </si>
  <si>
    <t>B1</t>
  </si>
  <si>
    <t>B/B-</t>
  </si>
  <si>
    <t>B2</t>
  </si>
  <si>
    <t>AGGREGATE</t>
  </si>
  <si>
    <t>KMV</t>
  </si>
  <si>
    <t>EDF</t>
  </si>
  <si>
    <t>&gt;=.20% and &lt; .50%</t>
  </si>
  <si>
    <t>&gt;=.50% and &lt;1.00%</t>
  </si>
  <si>
    <t>&gt;=1.00% and &lt;1.5%</t>
  </si>
  <si>
    <t>&gt;=1.5% and &lt;2.25%</t>
  </si>
  <si>
    <t>&gt;=2.25% and &lt; 3.5%</t>
  </si>
  <si>
    <t>3.5% and over</t>
  </si>
  <si>
    <t>COMMENTS</t>
  </si>
  <si>
    <t>SECURED ONLY</t>
  </si>
  <si>
    <t>MASTER SCALE</t>
  </si>
  <si>
    <t>NO TRADE - SUBSTANDARD</t>
  </si>
  <si>
    <t>AGGREGATE SCORE:</t>
  </si>
  <si>
    <t>BASELINE GRADE:</t>
  </si>
  <si>
    <t>FINAL GRADE:</t>
  </si>
  <si>
    <t>Attach Written Justification</t>
  </si>
  <si>
    <t>PARENTAL SUPPORT GRID:</t>
  </si>
  <si>
    <t>PARENT GRADE:</t>
  </si>
  <si>
    <t>P</t>
  </si>
  <si>
    <t>PARENT COMPANY:</t>
  </si>
  <si>
    <t>FORMAL</t>
  </si>
  <si>
    <t>GNTEE</t>
  </si>
  <si>
    <t>LETTER OF COMFORT</t>
  </si>
  <si>
    <t>OR VERBAL SUPPORT</t>
  </si>
  <si>
    <t>PARENT GRADE 1-5</t>
  </si>
  <si>
    <t>PARENT GRADE 6-9</t>
  </si>
  <si>
    <t>P-1</t>
  </si>
  <si>
    <t>P-2</t>
  </si>
  <si>
    <t>S</t>
  </si>
  <si>
    <t>STRATEGIC/CORE</t>
  </si>
  <si>
    <t>PERIPHERAL</t>
  </si>
  <si>
    <t>P= parent grade</t>
  </si>
  <si>
    <t>+= upgrade</t>
  </si>
  <si>
    <t>S+1*</t>
  </si>
  <si>
    <t>*S= subsidiary grade</t>
  </si>
  <si>
    <t>S=standalone</t>
  </si>
  <si>
    <t>- = downgrade</t>
  </si>
  <si>
    <t>SCORECARD FOR MIDDLE MARKET BUSINESSES</t>
  </si>
  <si>
    <t>(net operating profit before interest and tax +</t>
  </si>
  <si>
    <t>depreciation +non-cash amortization)/(total</t>
  </si>
  <si>
    <t>4.  ADJUSTED LEVERAGE</t>
  </si>
  <si>
    <t>&gt;.45</t>
  </si>
  <si>
    <t>Andorra</t>
  </si>
  <si>
    <t>Barbados</t>
  </si>
  <si>
    <t>Belize</t>
  </si>
  <si>
    <t>Benin</t>
  </si>
  <si>
    <t>Bermuda</t>
  </si>
  <si>
    <t>Cambodia</t>
  </si>
  <si>
    <t>China</t>
  </si>
  <si>
    <t>Colombia</t>
  </si>
  <si>
    <t>Georgia</t>
  </si>
  <si>
    <t>Grenada</t>
  </si>
  <si>
    <t>Liechtenstein</t>
  </si>
  <si>
    <t>Philippines</t>
  </si>
  <si>
    <t>Russia</t>
  </si>
  <si>
    <t>Seychelles</t>
  </si>
  <si>
    <t>Singapore</t>
  </si>
  <si>
    <t>A</t>
  </si>
  <si>
    <t>B</t>
  </si>
  <si>
    <t>C</t>
  </si>
  <si>
    <t>D</t>
  </si>
  <si>
    <t>E</t>
  </si>
  <si>
    <t>F</t>
  </si>
  <si>
    <t>Total:</t>
  </si>
  <si>
    <t>Subtotal:</t>
  </si>
  <si>
    <t>Total Score</t>
  </si>
  <si>
    <t xml:space="preserve">Reported Net Worth as of: </t>
  </si>
  <si>
    <t xml:space="preserve"> -</t>
  </si>
  <si>
    <t>Affiliated Receivables</t>
  </si>
  <si>
    <t>Officer's/Owner's Receivables</t>
  </si>
  <si>
    <t>Revalued Assets</t>
  </si>
  <si>
    <t>Goodwill</t>
  </si>
  <si>
    <t>Trademarks</t>
  </si>
  <si>
    <t>Patents</t>
  </si>
  <si>
    <t>Other Intangibles</t>
  </si>
  <si>
    <t>-</t>
  </si>
  <si>
    <t xml:space="preserve"> +</t>
  </si>
  <si>
    <t>Subordinated Debt</t>
  </si>
  <si>
    <t xml:space="preserve">Tangible Net Worth as of: </t>
  </si>
  <si>
    <t>Net Profit/Loss</t>
  </si>
  <si>
    <t>+</t>
  </si>
  <si>
    <t>Interest Expense</t>
  </si>
  <si>
    <t>Total Current Liabilities</t>
  </si>
  <si>
    <t>Liquidity Ratio</t>
  </si>
  <si>
    <t>Total Sales</t>
  </si>
  <si>
    <t>Profitability Ratio</t>
  </si>
  <si>
    <t>(short term debt+half of long term debt)/(total tangible assets)</t>
  </si>
  <si>
    <t>Notes Payable</t>
  </si>
  <si>
    <t>Current Portion Long Term Debt (CPLTD)</t>
  </si>
  <si>
    <t>Total Short Term Debt</t>
  </si>
  <si>
    <t>50% of LTD</t>
  </si>
  <si>
    <t>Total Long Term Debt (LTD)</t>
  </si>
  <si>
    <t>Total Assets</t>
  </si>
  <si>
    <t>Total Tangible Assets</t>
  </si>
  <si>
    <t>Leverage Ratio</t>
  </si>
  <si>
    <t xml:space="preserve">Gross Cash Flow </t>
  </si>
  <si>
    <t>Dividends</t>
  </si>
  <si>
    <t>Total Equity as reported on the balance sheet minus the items listed below</t>
  </si>
  <si>
    <t>(net profit/loss before interest and tax + depreciation +non-cash amortization)/(total current liabilities)</t>
  </si>
  <si>
    <t>BBB-</t>
  </si>
  <si>
    <t>Count</t>
  </si>
  <si>
    <t>Max Grade(based long term foreign currency)</t>
  </si>
  <si>
    <t>Abu Dhabi</t>
  </si>
  <si>
    <t>Cook Islands</t>
  </si>
  <si>
    <t>Dominican Republic</t>
  </si>
  <si>
    <t>Fiji Islands</t>
  </si>
  <si>
    <t>Gabonese Republic</t>
  </si>
  <si>
    <t>Hong Kong</t>
  </si>
  <si>
    <t>Isle of Man</t>
  </si>
  <si>
    <t>Korea</t>
  </si>
  <si>
    <t>Macedonia</t>
  </si>
  <si>
    <t>Montenegro</t>
  </si>
  <si>
    <t>Montserrat</t>
  </si>
  <si>
    <t>oman</t>
  </si>
  <si>
    <t>Serbia</t>
  </si>
  <si>
    <t>Slovak Republic</t>
  </si>
  <si>
    <t>Trinidad &amp; Tobago</t>
  </si>
  <si>
    <t>GUIDELINES</t>
  </si>
  <si>
    <t>Best</t>
  </si>
  <si>
    <t>Upper Range</t>
  </si>
  <si>
    <t>Average</t>
  </si>
  <si>
    <t>Lower Range</t>
  </si>
  <si>
    <t xml:space="preserve"> </t>
  </si>
  <si>
    <t>Above Average</t>
  </si>
  <si>
    <t>Below Average</t>
  </si>
  <si>
    <t>Uncertain</t>
  </si>
  <si>
    <t>Rate the quality and depth of the management team.</t>
  </si>
  <si>
    <t>Full team of highly experienced, very successful management.  Full succession planning.  Good labor relations.</t>
  </si>
  <si>
    <t>Well respected senior management with a good track record, full succession planning, and good labor relations, but full team lacking in depth</t>
  </si>
  <si>
    <t xml:space="preserve"> Competent management supported by qualified professional personnel in key positions </t>
  </si>
  <si>
    <t xml:space="preserve">Possible gap in team or limited relevant experience in one or more positions. Possible succession problems, or management concentrated in hands of a few </t>
  </si>
  <si>
    <t>Unproven management with key functions still missing.  Likely succession problems.  History or possibility of industrial action.</t>
  </si>
  <si>
    <t>If year 0 is better than year -1, score 4, otherwise 0</t>
  </si>
  <si>
    <t>If year -1 is better than year -2, score 3, otherwise 0</t>
  </si>
  <si>
    <t>If year -2 is better than year -3, score 2, otherwise 0</t>
  </si>
  <si>
    <t>GRADE WITH PARENTAL SUPPORT:</t>
  </si>
  <si>
    <t>RECOMMENDED GRADE:</t>
  </si>
  <si>
    <t>COUNTRY MAX GRADE</t>
  </si>
  <si>
    <t>ATIVO</t>
  </si>
  <si>
    <t>Cliente:</t>
  </si>
  <si>
    <t>A.H.</t>
  </si>
  <si>
    <t>Código:</t>
  </si>
  <si>
    <t>MR$</t>
  </si>
  <si>
    <t>01</t>
  </si>
  <si>
    <t>Disponibilidades / Aplicações Financeiras</t>
  </si>
  <si>
    <t>02</t>
  </si>
  <si>
    <t xml:space="preserve">03 </t>
  </si>
  <si>
    <t>04</t>
  </si>
  <si>
    <t>Estoques</t>
  </si>
  <si>
    <t>05</t>
  </si>
  <si>
    <t>Outros Creditos de Curto Prazo</t>
  </si>
  <si>
    <t>06</t>
  </si>
  <si>
    <t>TOTAL DO  ATIVO CIRCULANTE</t>
  </si>
  <si>
    <t>07</t>
  </si>
  <si>
    <t>Coligadas e Controladas / Longo Prazo</t>
  </si>
  <si>
    <t>08</t>
  </si>
  <si>
    <t>Outros Créditos de Longo Prazo</t>
  </si>
  <si>
    <t>09</t>
  </si>
  <si>
    <t>TOTAL  DOS  REALIZÁVEIS A LONGO PRAZO</t>
  </si>
  <si>
    <t>10</t>
  </si>
  <si>
    <t>Imobilizado Técnico</t>
  </si>
  <si>
    <t>(-) Depreciação Acumulada</t>
  </si>
  <si>
    <t>Participação em Coligadas e Controladas</t>
  </si>
  <si>
    <t>Outros Investimentos</t>
  </si>
  <si>
    <t>Total dos Investimentos</t>
  </si>
  <si>
    <t>Ativo Diferido</t>
  </si>
  <si>
    <t>TOTAL DO ATIVO PERMANENTE</t>
  </si>
  <si>
    <t>TOTAL DO ATIVO</t>
  </si>
  <si>
    <t>PASSIVO</t>
  </si>
  <si>
    <t>Fornecedores</t>
  </si>
  <si>
    <t>Tributos e Obrigações Sociais</t>
  </si>
  <si>
    <t>Empréstimos e Financiamentos / Curto Prazo</t>
  </si>
  <si>
    <t>Operações de Desconto de Duplicatas</t>
  </si>
  <si>
    <t>Operações de Adiantamento de Câmbio</t>
  </si>
  <si>
    <t>Total de Instituições Financeiras</t>
  </si>
  <si>
    <t>TOTAL DO PASSIVO CIRCULANTE</t>
  </si>
  <si>
    <t>Empréstimos e Financiamentos / Longo Prazo</t>
  </si>
  <si>
    <t>Cred Rural de Custeio/ Longo Prazo</t>
  </si>
  <si>
    <t>Outros Débitos de Longo Prazo</t>
  </si>
  <si>
    <t>TOTAL DO EXIGÍVEL A LONGO PRAZO</t>
  </si>
  <si>
    <t>TOTAL DO PASSIVO REAL</t>
  </si>
  <si>
    <t>Capital Social Integralizado</t>
  </si>
  <si>
    <t>Reservas  de Capital e Lucro</t>
  </si>
  <si>
    <t>Reserva de Reavaliação</t>
  </si>
  <si>
    <t>Lucros Acumulados</t>
  </si>
  <si>
    <t>Total do Patrimônio Líquido</t>
  </si>
  <si>
    <t>TOTAL DO PASSIVO</t>
  </si>
  <si>
    <t>(M / P´s) = Média dos últimos 03 períodos</t>
  </si>
  <si>
    <t>(U / P) = Valor do último período</t>
  </si>
  <si>
    <t>DEMONSTRAÇÃO DE RESULTADOS</t>
  </si>
  <si>
    <t>Faturamento Bruto</t>
  </si>
  <si>
    <t>(-) Impostos sobre  o Faturamento</t>
  </si>
  <si>
    <t xml:space="preserve"> = Faturamento Líquido</t>
  </si>
  <si>
    <t>(-) Custo de Mercadorias Vendida</t>
  </si>
  <si>
    <t xml:space="preserve"> = Lucro Bruto</t>
  </si>
  <si>
    <t>(-) Despesas Administrativas e Gerais</t>
  </si>
  <si>
    <t>(-) Despesas Comerciais</t>
  </si>
  <si>
    <t>(-) Despesas Tributárias</t>
  </si>
  <si>
    <t>(-) Despesas Financeiras</t>
  </si>
  <si>
    <t>51</t>
  </si>
  <si>
    <t>52</t>
  </si>
  <si>
    <t xml:space="preserve"> + Receitas (-) Despesas não Operacionais</t>
  </si>
  <si>
    <t>53</t>
  </si>
  <si>
    <t>(-) Depreciação e Amortização</t>
  </si>
  <si>
    <t>54</t>
  </si>
  <si>
    <t xml:space="preserve"> = Resultado antes das Participações </t>
  </si>
  <si>
    <t>55</t>
  </si>
  <si>
    <t>(-/+) Participações Minoritárias</t>
  </si>
  <si>
    <t>56</t>
  </si>
  <si>
    <t>(-/+) Resultado da Equivalência Patrimonial</t>
  </si>
  <si>
    <t>57</t>
  </si>
  <si>
    <t>(-/+) Imposto de Renda / Contribuição Social</t>
  </si>
  <si>
    <t xml:space="preserve"> = LUCRO / PREJUÍZO  LÍQUIDO</t>
  </si>
  <si>
    <t>Dolar Final</t>
  </si>
  <si>
    <t>Dolar Médio</t>
  </si>
  <si>
    <t>Taxa de Captação</t>
  </si>
  <si>
    <t>Taxa Esperada</t>
  </si>
  <si>
    <t>A.H</t>
  </si>
  <si>
    <t>US$</t>
  </si>
  <si>
    <t>Thousand</t>
  </si>
  <si>
    <t>03</t>
  </si>
  <si>
    <t>41</t>
  </si>
  <si>
    <t>59</t>
  </si>
  <si>
    <t>ÍNDICES ECONÔMICOS</t>
  </si>
  <si>
    <t>COMPOSICAO DE RECURSOS</t>
  </si>
  <si>
    <t>60</t>
  </si>
  <si>
    <t>Grau de Endividamento Bancário</t>
  </si>
  <si>
    <t>61</t>
  </si>
  <si>
    <t>Grau de Operações de Desconto de Duplicatas</t>
  </si>
  <si>
    <t>62</t>
  </si>
  <si>
    <t>Grau Imobilização com Capital  Proprio</t>
  </si>
  <si>
    <t>LIQUIDEZ</t>
  </si>
  <si>
    <t>63</t>
  </si>
  <si>
    <t>Liquidez Corrente</t>
  </si>
  <si>
    <t>64</t>
  </si>
  <si>
    <t>Liquidez Seca</t>
  </si>
  <si>
    <t>RETORNO DOS RECURSOS EMPREGADOS</t>
  </si>
  <si>
    <t>RAOL = Retorno sobre Ativo Operacional Líquido</t>
  </si>
  <si>
    <t>CMPC = Custo Médio Ponderado de Capital</t>
  </si>
  <si>
    <t>CCP = Custo do Capital Próprio</t>
  </si>
  <si>
    <t>EVA = Valor Econômico Adicionado</t>
  </si>
  <si>
    <t>MVA = Valor de Mercado Adicionado</t>
  </si>
  <si>
    <t>CAPITAL CIRCULANTE LÍQUIDO DESCRITIVO</t>
  </si>
  <si>
    <t>Financeiro</t>
  </si>
  <si>
    <t>Operacional</t>
  </si>
  <si>
    <t>Longo Prazo/Imobilizado</t>
  </si>
  <si>
    <t>FLUXO DE CAIXA</t>
  </si>
  <si>
    <t>US$ Thousand</t>
  </si>
  <si>
    <t>Recebimento de Vendas</t>
  </si>
  <si>
    <t>(-) Pagamento de Impostos/Obrigações Sociais</t>
  </si>
  <si>
    <t>(-) Pagamento de Custos</t>
  </si>
  <si>
    <t>(-) Pagamento de Despesas</t>
  </si>
  <si>
    <t>Recebimento de Receitas Financeiras</t>
  </si>
  <si>
    <t>(-) Pagamento de Despesas Financeiras</t>
  </si>
  <si>
    <t>(-)  Quitação (Captação) de Empréstimos de Curto Prazo</t>
  </si>
  <si>
    <t>(-) Investimentos</t>
  </si>
  <si>
    <t>(-) Transferência (Captação) de Empréstimos de Longo Prazo</t>
  </si>
  <si>
    <t>FLUXO DE CAIXA OPERACIONAL / ESTRUTURAL</t>
  </si>
  <si>
    <t>Recebimento de Empréstimos Concedidos a Coligadas</t>
  </si>
  <si>
    <t>(-) Pagamento de Empréstimos Obtidos de Coligadas</t>
  </si>
  <si>
    <t>Integralização de Capital Social</t>
  </si>
  <si>
    <t>Recebimento de Dividendos de Participações em Outras Empresas</t>
  </si>
  <si>
    <t>Outras Receitas (Despesas) não Operacionais</t>
  </si>
  <si>
    <t xml:space="preserve">Caixa Inicial /Disponível </t>
  </si>
  <si>
    <t>FLUXO DE CAIXA FINAL</t>
  </si>
  <si>
    <t>EBITDA</t>
  </si>
  <si>
    <t>(-) Varições Cambias Passivas</t>
  </si>
  <si>
    <t>(+) Receitas Financeiras</t>
  </si>
  <si>
    <t xml:space="preserve">(+) Varições cambias ativas </t>
  </si>
  <si>
    <t>PDR</t>
  </si>
  <si>
    <t>(+/-) Instrumentos Financeiros / Derivativos</t>
  </si>
  <si>
    <t>Instrumentos Derivativos</t>
  </si>
  <si>
    <t>Cred Rural de Custeio/Debêntures/Derivativos</t>
  </si>
  <si>
    <t>Intangivel</t>
  </si>
  <si>
    <t>Outras Receitas e despesas Oper.</t>
  </si>
  <si>
    <t>(+/-) Receitas e despesas operacionais</t>
  </si>
  <si>
    <t xml:space="preserve"> = Lucro Operacional depois do result. Financeiro</t>
  </si>
  <si>
    <t xml:space="preserve"> =Lucro Operacional</t>
  </si>
  <si>
    <t>Duplicatas a Receber</t>
  </si>
  <si>
    <t>Relacionamento com Coligadas e Controladas</t>
  </si>
  <si>
    <t>Adto a Fornecedores de Materiais</t>
  </si>
  <si>
    <t>Outros Débitos Curto Prazo</t>
  </si>
  <si>
    <t>Contas a Pagar / Adto de Clientes</t>
  </si>
  <si>
    <t>Empresa:</t>
  </si>
  <si>
    <t>\</t>
  </si>
  <si>
    <t>PREENCHER SOMENTE AS TAXAS</t>
  </si>
  <si>
    <t>DIGITE 1 OU 2</t>
  </si>
  <si>
    <t>MOEDA - Para Imprimir</t>
  </si>
  <si>
    <t>Tabela de Conversão para Dolar</t>
  </si>
  <si>
    <t>FIM DA PLANILHA</t>
  </si>
  <si>
    <t>Auditado ou Não</t>
  </si>
  <si>
    <t>INDIVIDUAL/CONSOLIDADO</t>
  </si>
  <si>
    <t>Dólar Final</t>
  </si>
  <si>
    <t>Real</t>
  </si>
  <si>
    <t>Dólar Médio</t>
  </si>
  <si>
    <t>Opção</t>
  </si>
  <si>
    <t>MOEDA : R$ 1.000</t>
  </si>
  <si>
    <t>1º Ano</t>
  </si>
  <si>
    <t>3 - Dolar</t>
  </si>
  <si>
    <t>2º Ano</t>
  </si>
  <si>
    <t>INDIVIDUAL</t>
  </si>
  <si>
    <t>3º Ano</t>
  </si>
  <si>
    <t>L/C</t>
  </si>
  <si>
    <t>Moeda</t>
  </si>
  <si>
    <t>CONSOLIDADO</t>
  </si>
  <si>
    <t>4º Ano</t>
  </si>
  <si>
    <t>--</t>
  </si>
  <si>
    <t xml:space="preserve"> PREENCHER DIAS PARA O IOG</t>
  </si>
  <si>
    <t>DIAS</t>
  </si>
  <si>
    <t>Ano 1</t>
  </si>
  <si>
    <t>Ano 2</t>
  </si>
  <si>
    <t>Ano 3</t>
  </si>
  <si>
    <t>Ano 4</t>
  </si>
  <si>
    <r>
      <t>PREENCHER</t>
    </r>
    <r>
      <rPr>
        <b/>
        <sz val="8"/>
        <color indexed="10"/>
        <rFont val="Arial"/>
        <family val="2"/>
      </rPr>
      <t xml:space="preserve"> ===&gt;&gt;</t>
    </r>
  </si>
  <si>
    <t>12 months</t>
  </si>
  <si>
    <t>%</t>
  </si>
  <si>
    <t>CAIXA</t>
  </si>
  <si>
    <t>APLICAÇÕES FINANCEIRAS</t>
  </si>
  <si>
    <t>PARA LINHAS 31 e 32</t>
  </si>
  <si>
    <t>CONTAS A RECEBER</t>
  </si>
  <si>
    <t>PDD</t>
  </si>
  <si>
    <t>Digite 1 para</t>
  </si>
  <si>
    <t>ESTOQUE</t>
  </si>
  <si>
    <t>IOG</t>
  </si>
  <si>
    <t>IR E CS DIFERIDOS</t>
  </si>
  <si>
    <t>FREE</t>
  </si>
  <si>
    <t>IMPOSTOS A RECUPERAR</t>
  </si>
  <si>
    <t>OUTROS ATIVOS CIRCULANTES</t>
  </si>
  <si>
    <t>ATIVO CIRCULANTE</t>
  </si>
  <si>
    <t>OUTROS ATIVOS NÃO CIRCULANTES</t>
  </si>
  <si>
    <t>ATIVO NÃO CIRCULANTE</t>
  </si>
  <si>
    <t>IMOBILIZADO</t>
  </si>
  <si>
    <t>INTANGIVEIS</t>
  </si>
  <si>
    <t>ATIVO PERMANENTE</t>
  </si>
  <si>
    <t>ATIVO TOTAL</t>
  </si>
  <si>
    <t>BANK</t>
  </si>
  <si>
    <t>EMPRÉSTIMOS E FINANCIAMENTO</t>
  </si>
  <si>
    <t>DEBENTURES</t>
  </si>
  <si>
    <t>PARTES RELACIONADAS</t>
  </si>
  <si>
    <t>FORNECEDORES</t>
  </si>
  <si>
    <t>DIVIDENDOS</t>
  </si>
  <si>
    <t>PARA LINHAS 59 e 60</t>
  </si>
  <si>
    <t>OUTROS</t>
  </si>
  <si>
    <t>PASSIVO CIRCULANTE</t>
  </si>
  <si>
    <t>LIVRE</t>
  </si>
  <si>
    <t>Utilizada</t>
  </si>
  <si>
    <t>PASSIVO NÃO CIRCULANTE</t>
  </si>
  <si>
    <t>PASSIVO TOTAL</t>
  </si>
  <si>
    <t>PARTICIPAÇÃO MINORITÁRIA</t>
  </si>
  <si>
    <t>CAPITAL SOCIAL</t>
  </si>
  <si>
    <t>PREJUÍZO/LUCROS ACUMULADOS</t>
  </si>
  <si>
    <t>PATRIMÔNIO LÍQUIDO</t>
  </si>
  <si>
    <t>TOTAL DO PASSIVO + PL</t>
  </si>
  <si>
    <t>REAL/DOLAR:</t>
  </si>
  <si>
    <t>RECEITA BRUTA</t>
  </si>
  <si>
    <t>RECEITA LÍQUIDA</t>
  </si>
  <si>
    <t>CPV</t>
  </si>
  <si>
    <t>DEPRECIAÇÃO</t>
  </si>
  <si>
    <t>LUCRO BRUTO</t>
  </si>
  <si>
    <t>DESPESAS OPERACIONAIS</t>
  </si>
  <si>
    <t>DESPESAS ADMINISTRATIVAS</t>
  </si>
  <si>
    <t>DESPESAS COMERCIAIS</t>
  </si>
  <si>
    <t>LUCRO OPERACIONAL</t>
  </si>
  <si>
    <t>DESPESA FINANCEIRA</t>
  </si>
  <si>
    <t>RECEITA FINANCEIRA</t>
  </si>
  <si>
    <t>IMPOSTOS DIFERIDOS</t>
  </si>
  <si>
    <t>LUCRO APÓS VARIAÇÃO FINANCEIRA</t>
  </si>
  <si>
    <t>LUCRO ANTES DOS IMPOSTOS</t>
  </si>
  <si>
    <t>IRPJ</t>
  </si>
  <si>
    <t>CSLL</t>
  </si>
  <si>
    <t>LUCRO LÍQUIDO</t>
  </si>
  <si>
    <t>ANALISE HORIZONTAL</t>
  </si>
  <si>
    <t>TOTAL DE ATIVOS</t>
  </si>
  <si>
    <t>PATRIMONIO LIQUIDO</t>
  </si>
  <si>
    <t>LUCRO LIQUIDO</t>
  </si>
  <si>
    <t xml:space="preserve">CONTINUE PREENCHENDO A PLANILHA, ATÉ </t>
  </si>
  <si>
    <t>RATIOS</t>
  </si>
  <si>
    <t>INDICES</t>
  </si>
  <si>
    <t>CURRENT LIQUIDITY</t>
  </si>
  <si>
    <t>LIQUIDEZ CORRENTE</t>
  </si>
  <si>
    <t>FINANCIAL LEVERAGE</t>
  </si>
  <si>
    <t>ALAVANCAGEM</t>
  </si>
  <si>
    <t>CASH FLOW COVERAGE</t>
  </si>
  <si>
    <t>COBERTURA DE CASH FLOW</t>
  </si>
  <si>
    <t>--*--*--</t>
  </si>
  <si>
    <t>WORKING CAPITAL</t>
  </si>
  <si>
    <t>NECESSIDADE DE CAPITAL</t>
  </si>
  <si>
    <t>R.O.A.</t>
  </si>
  <si>
    <t>R.O.E.</t>
  </si>
  <si>
    <t>BANK DEBT / TOTAL ASSETS</t>
  </si>
  <si>
    <t>ATIVO FIXO + INV. / TANGIVEIS</t>
  </si>
  <si>
    <t>ATENÇÃO: QUADRO DE INDICES DA C.M.P.L.</t>
  </si>
  <si>
    <t>PREENCHER</t>
  </si>
  <si>
    <t>CMPL</t>
  </si>
  <si>
    <t>NÃO PREENCHER ABAIXO !</t>
  </si>
  <si>
    <t>Indice Ano 1</t>
  </si>
  <si>
    <t>MUDANÇAS NO PATRIMONIO LIQUIDO</t>
  </si>
  <si>
    <t>CORREÇÃO MONETÁRIA</t>
  </si>
  <si>
    <t>PREENCHER AS LINHAS 128,129,130,131,132,133.</t>
  </si>
  <si>
    <t>Indice Ano 2</t>
  </si>
  <si>
    <t>AUMENTO DE CAPITAL</t>
  </si>
  <si>
    <t>REAVALIAÇÃO</t>
  </si>
  <si>
    <t>Indice Ano 3</t>
  </si>
  <si>
    <t>Indice Ano 4</t>
  </si>
  <si>
    <t>FUNDO DE PENSÃO</t>
  </si>
  <si>
    <t>DIFERENÇA</t>
  </si>
  <si>
    <t>VARIAÇÃO NO PL</t>
  </si>
  <si>
    <t>NECESSIDADE DE CAPITAL DE GIRO</t>
  </si>
  <si>
    <t>PREENCHER AS LINHAS 139,140,141</t>
  </si>
  <si>
    <t>DAYS</t>
  </si>
  <si>
    <t>dias</t>
  </si>
  <si>
    <t>RECEBÍVEIS</t>
  </si>
  <si>
    <t>LINHA  " B " 22</t>
  </si>
  <si>
    <t>LINHA  " B " 23</t>
  </si>
  <si>
    <t>LINHA  " B " 24</t>
  </si>
  <si>
    <t>FINANCIAMENTO OPERACIONAL FORNECIDO</t>
  </si>
  <si>
    <t>IMPOSTOS</t>
  </si>
  <si>
    <t>LINHA " B " 51</t>
  </si>
  <si>
    <t>LINHA " B " 52</t>
  </si>
  <si>
    <t>FINANCIAMENTO OPERACIONAL RECEBIDO</t>
  </si>
  <si>
    <t>PREENCHER ==&gt;</t>
  </si>
  <si>
    <t>DATAS DO FLUXO DE CAIXA</t>
  </si>
  <si>
    <t>Fluxo de Caixa</t>
  </si>
  <si>
    <t>DEPRECIAÇÃO / AMORTIZAÇÃO</t>
  </si>
  <si>
    <t>CAIXA OPERACIONAL</t>
  </si>
  <si>
    <t>Imposto de Renda</t>
  </si>
  <si>
    <t>1º Período</t>
  </si>
  <si>
    <t>CURTO PRAZO DOS EMPRÉSTIMOS</t>
  </si>
  <si>
    <t>2º Período</t>
  </si>
  <si>
    <t>DIVIDENDOS / PARTICIPAÇÕES</t>
  </si>
  <si>
    <t>3º Período</t>
  </si>
  <si>
    <t>AQUISIÇÕES DE INVESTIMENTOS</t>
  </si>
  <si>
    <t>CAIXA DE INVESTIMENTOS</t>
  </si>
  <si>
    <t>SUBSIDIÁRIAS</t>
  </si>
  <si>
    <t xml:space="preserve">Fluxo de Caixa 1º </t>
  </si>
  <si>
    <t xml:space="preserve">Fluxo de Caixa 2º </t>
  </si>
  <si>
    <t xml:space="preserve">Fluxo de Caixa 3º </t>
  </si>
  <si>
    <t>AÇÕES NA TESOURARIA</t>
  </si>
  <si>
    <t>Período</t>
  </si>
  <si>
    <t>OUTROS ATIVOS DE LONGO PRAZO</t>
  </si>
  <si>
    <t>Diversos Ativos</t>
  </si>
  <si>
    <t>OUTROS ATIVOS DE CURTO PRAZO</t>
  </si>
  <si>
    <t>RECEITAS DIFERIDAS</t>
  </si>
  <si>
    <t>OUTROS PASSIVOS</t>
  </si>
  <si>
    <t>CASH BEFORE FINANCING</t>
  </si>
  <si>
    <t>EMPRÉSTIMOS DE CURTO PRAZO</t>
  </si>
  <si>
    <t>EMPRESTIMOS DE LONGO PRAZO</t>
  </si>
  <si>
    <t>Diversos Passivos</t>
  </si>
  <si>
    <t>ALTERAÇÃO NO CAIXA</t>
  </si>
  <si>
    <t>FLUXO DE CAIXA LÍQUIDO</t>
  </si>
  <si>
    <t>Year:</t>
  </si>
  <si>
    <t>Rating</t>
  </si>
  <si>
    <t>AAA</t>
  </si>
  <si>
    <t>AA</t>
  </si>
  <si>
    <t>BBB</t>
  </si>
  <si>
    <t>Tamanho</t>
  </si>
  <si>
    <t>BB</t>
  </si>
  <si>
    <t>Total de Ativos</t>
  </si>
  <si>
    <t>Patrimonio Liquido</t>
  </si>
  <si>
    <t>CCC</t>
  </si>
  <si>
    <t>CC</t>
  </si>
  <si>
    <t>Lucro Líquido</t>
  </si>
  <si>
    <t>Performance</t>
  </si>
  <si>
    <t>DDD</t>
  </si>
  <si>
    <t>Var % PL</t>
  </si>
  <si>
    <t>Negado</t>
  </si>
  <si>
    <t>Margem Operacional</t>
  </si>
  <si>
    <t>Margem Líquida</t>
  </si>
  <si>
    <t>Estrutura de Capital + Capacidade de pgto</t>
  </si>
  <si>
    <t>Dívidas/Patrimonio Liquido</t>
  </si>
  <si>
    <t>Passivo Total/Passivo Total + PL</t>
  </si>
  <si>
    <t>Empréstimos/Ativo Total</t>
  </si>
  <si>
    <t>Geração de Caixa/Empréstimos de Curto Prazo</t>
  </si>
  <si>
    <t>CRITERIOS DE ANÁLISE SUBJETIVA</t>
  </si>
  <si>
    <t>Observação:</t>
  </si>
  <si>
    <t>O Balanço é auditado?</t>
  </si>
  <si>
    <t>Não</t>
  </si>
  <si>
    <t>É uma Ltda ou Capital Aberto?</t>
  </si>
  <si>
    <t>Ltda. não auditada</t>
  </si>
  <si>
    <t>Atividade econômica</t>
  </si>
  <si>
    <t>Comercializadora</t>
  </si>
  <si>
    <t>Atribua uma nota para o setor</t>
  </si>
  <si>
    <t>Sócios:</t>
  </si>
  <si>
    <t>Tendência do Setor</t>
  </si>
  <si>
    <t>Em recessão</t>
  </si>
  <si>
    <t>Tempo de operação da empresa</t>
  </si>
  <si>
    <t>1 a 2 anos</t>
  </si>
  <si>
    <t>Reputação da empresa no mercado</t>
  </si>
  <si>
    <t>Tempo de operação dos sócios</t>
  </si>
  <si>
    <t>Reputação dos sócios no mercado</t>
  </si>
  <si>
    <t>Total de Ativo - Controladora</t>
  </si>
  <si>
    <t>Patrimônio Líquido - Controladora</t>
  </si>
  <si>
    <t>Receita Líquida - Controladora</t>
  </si>
  <si>
    <t>1 - excelente</t>
  </si>
  <si>
    <t>Geradora</t>
  </si>
  <si>
    <t>Distribuidora</t>
  </si>
  <si>
    <t>de 1º a 5º</t>
  </si>
  <si>
    <t>Sucroalcooleiro</t>
  </si>
  <si>
    <t>de 6º a 10º</t>
  </si>
  <si>
    <t>Agrícola</t>
  </si>
  <si>
    <t>de 11º a 15º</t>
  </si>
  <si>
    <t>Automotiva</t>
  </si>
  <si>
    <t>de 16º a 20º</t>
  </si>
  <si>
    <t>Autopeças</t>
  </si>
  <si>
    <t>Altamente recessivo</t>
  </si>
  <si>
    <t>de 21º a 30º</t>
  </si>
  <si>
    <t>Cimentos</t>
  </si>
  <si>
    <t>de 31º a 40º</t>
  </si>
  <si>
    <t xml:space="preserve">Metais </t>
  </si>
  <si>
    <t>Estagnado</t>
  </si>
  <si>
    <t>de 41º a 50º</t>
  </si>
  <si>
    <t>Mineração</t>
  </si>
  <si>
    <t>Em expansão</t>
  </si>
  <si>
    <t>&gt; que 51º</t>
  </si>
  <si>
    <t>10 - a revisar</t>
  </si>
  <si>
    <t>Papéis</t>
  </si>
  <si>
    <t>Altamente expansionista</t>
  </si>
  <si>
    <t>Siderurgia</t>
  </si>
  <si>
    <t>Têxtil</t>
  </si>
  <si>
    <t>Produção Integrada</t>
  </si>
  <si>
    <t>Outros</t>
  </si>
  <si>
    <t>2 a 5 anos</t>
  </si>
  <si>
    <t>5 a 10 anos</t>
  </si>
  <si>
    <t>10 a 15 anos</t>
  </si>
  <si>
    <t>15 a 25 anos</t>
  </si>
  <si>
    <t>Ltda. auditada</t>
  </si>
  <si>
    <t>25 a 40 anos</t>
  </si>
  <si>
    <t>Ltda. (DF publicada)</t>
  </si>
  <si>
    <t>40 a 60 anos</t>
  </si>
  <si>
    <t>S/A não listada na CVM</t>
  </si>
  <si>
    <t>60 a 80 anos</t>
  </si>
  <si>
    <t>S/A listada na CVM</t>
  </si>
  <si>
    <t>mais de 80 anos</t>
  </si>
  <si>
    <t>Sim,por auditoria de pequeno porte</t>
  </si>
  <si>
    <t>Sim,por auditoria grande porte</t>
  </si>
  <si>
    <t>Sim,por uma das Big4</t>
  </si>
  <si>
    <t>Clime Trading</t>
  </si>
  <si>
    <t>WC</t>
  </si>
  <si>
    <t>&gt; R$5.000.000 TO R$50.000,000</t>
  </si>
  <si>
    <t>&gt; R$50.000.000 TO R$100.000,000</t>
  </si>
  <si>
    <t>&gt; R$100.000.000 TO R$500.000,000</t>
  </si>
  <si>
    <t>&gt; R$500.000.000 TO R$1.000.000.000</t>
  </si>
  <si>
    <t>&gt; R$1.000.000.000 TO R$2.000.000.000</t>
  </si>
  <si>
    <t>&gt; R$2.000.000.000 TO R$4.000.000.000</t>
  </si>
  <si>
    <t>&gt; R$4.000.000.000</t>
  </si>
  <si>
    <t>&gt;3.0</t>
  </si>
  <si>
    <t>Currente Assets</t>
  </si>
  <si>
    <t>Inventory</t>
  </si>
  <si>
    <t>AAA/AA+</t>
  </si>
  <si>
    <t>Aaa/Aa1</t>
  </si>
  <si>
    <t>AA/AA-</t>
  </si>
  <si>
    <t>Aa2/Aa3</t>
  </si>
  <si>
    <t>Below .05%</t>
  </si>
  <si>
    <t>A+/A</t>
  </si>
  <si>
    <t>A1/A2/A3</t>
  </si>
  <si>
    <t>&gt;= .05% and &lt;.10%</t>
  </si>
  <si>
    <t>A-/BBB+</t>
  </si>
  <si>
    <t>Baa1/Baa2</t>
  </si>
  <si>
    <t xml:space="preserve">  </t>
  </si>
  <si>
    <t>Couroquimica</t>
  </si>
  <si>
    <t>Dólar</t>
  </si>
  <si>
    <t>(Patrimonio Líquido - Partes Relacionadas)</t>
  </si>
  <si>
    <t>Liquidez Seca (AC - Estoques) / PC</t>
  </si>
  <si>
    <t>Lucro Líquido / Vendas</t>
  </si>
  <si>
    <t>CONTRAPARTE</t>
  </si>
  <si>
    <t>GRUPO</t>
  </si>
  <si>
    <t>DATA ANALISE</t>
  </si>
  <si>
    <t>PAÍS</t>
  </si>
  <si>
    <t>DATA ÚLTIMA DFP</t>
  </si>
  <si>
    <t>A matriz oferece aval para suas subsidiárias?</t>
  </si>
  <si>
    <t>1.  PATRIMONIO LÍQUIDO</t>
  </si>
  <si>
    <t>2.  LIQUIDEZ</t>
  </si>
  <si>
    <t>3.  RENTABILIDADE</t>
  </si>
  <si>
    <t>4.  ALAVANCAGEM</t>
  </si>
  <si>
    <t>5.  TENDÊNCIA 3 ANOS</t>
  </si>
  <si>
    <t>TABELA</t>
  </si>
  <si>
    <t>(dívidas curto prazo + 1/2 Long prazo) / Total do Ativo</t>
  </si>
  <si>
    <t>?????</t>
  </si>
  <si>
    <t>Divida Total / PL</t>
  </si>
  <si>
    <t>PONTOS</t>
  </si>
  <si>
    <t>PONTOS EARNED</t>
  </si>
  <si>
    <t>Nova</t>
  </si>
  <si>
    <t>6 meses até 1 ano</t>
  </si>
  <si>
    <t>1 - 2 anos</t>
  </si>
  <si>
    <t>2 - 5 anos</t>
  </si>
  <si>
    <t>5+ anos</t>
  </si>
  <si>
    <t>INSERIR PONTOS</t>
  </si>
  <si>
    <t>6. RELATÓRIO FINANCEIRO</t>
  </si>
  <si>
    <t>Vendas</t>
  </si>
  <si>
    <t xml:space="preserve">PONTOS </t>
  </si>
  <si>
    <t>7. CLIME HISTÓRICO C/P</t>
  </si>
  <si>
    <t>9. TEMPO MERCADO C/P</t>
  </si>
  <si>
    <t>5. TENDÊNCIA</t>
  </si>
  <si>
    <t>10.  CAPACIDADE ADMINISTRADORES</t>
  </si>
  <si>
    <t>Comparar com os pares de mercado</t>
  </si>
  <si>
    <t>Relatórios frequentes e completos, budget &amp; forecast de todas as unidades da empresa e contas auditadas por Big Four.</t>
  </si>
  <si>
    <t>Melhor</t>
  </si>
  <si>
    <t>Alta</t>
  </si>
  <si>
    <t>Média</t>
  </si>
  <si>
    <t>Baixa</t>
  </si>
  <si>
    <t>Relatórios frequentes e contas auditadas por auditoria de grande porte</t>
  </si>
  <si>
    <t>Acima da Média</t>
  </si>
  <si>
    <t>Relatórios Financeiros feito anualmente e auditado por empresa de porte médio.</t>
  </si>
  <si>
    <t xml:space="preserve">Difícil obtenção de relatórios financeiros e sem divulgação de resultados. Demonstrações preparadas de forma inadequada.  </t>
  </si>
  <si>
    <t>Abaixo da Média</t>
  </si>
  <si>
    <t>Duvidosas</t>
  </si>
  <si>
    <t>Contabilidade feita por práticas não usuais, atraso ou não entrega de relatórios /demonstrativos e controlada de forma questionável e não auditadas.</t>
  </si>
  <si>
    <t>Linhas Gerais</t>
  </si>
  <si>
    <t>Qualidade de Reporting e Compliance.</t>
  </si>
  <si>
    <t>separados por 1/4.</t>
  </si>
  <si>
    <t>Menos de 2 anos</t>
  </si>
  <si>
    <t>2-5 Anos</t>
  </si>
  <si>
    <t>5-8 Anos</t>
  </si>
  <si>
    <t>8-12 Anos</t>
  </si>
  <si>
    <t>12-20 Anos</t>
  </si>
  <si>
    <t>20+ Anos</t>
  </si>
  <si>
    <t>&gt;.05 ou menor</t>
  </si>
  <si>
    <t>&gt;.01 até .03</t>
  </si>
  <si>
    <t>&gt;.35 até .45</t>
  </si>
  <si>
    <t>&gt;.25 até 1.0</t>
  </si>
  <si>
    <t>&gt;.03 até .05</t>
  </si>
  <si>
    <t>&gt;.25 até .35</t>
  </si>
  <si>
    <t>&gt;1.0 até 2.0</t>
  </si>
  <si>
    <t>&gt;.05 até .09</t>
  </si>
  <si>
    <t>&gt;.15 até .25</t>
  </si>
  <si>
    <t>&gt;2.0 até 3.0</t>
  </si>
  <si>
    <t>&gt;.09 até .13</t>
  </si>
  <si>
    <t>&gt;.09 até .15</t>
  </si>
  <si>
    <t>&gt;.13 até .17</t>
  </si>
  <si>
    <t>&gt;.17 ou maior</t>
  </si>
  <si>
    <t>.01 ou menor</t>
  </si>
  <si>
    <t>.25 ou menor</t>
  </si>
  <si>
    <t>R$5.000.000 ou menor</t>
  </si>
  <si>
    <t>Resultado</t>
  </si>
  <si>
    <t>(contraparte com vendas &gt;R$12,375,000 e &lt;= R$1,238,000,000. )</t>
  </si>
  <si>
    <t>270+</t>
  </si>
  <si>
    <t>235 to  226</t>
  </si>
  <si>
    <t>199 to 234</t>
  </si>
  <si>
    <t>172 to 200</t>
  </si>
  <si>
    <t>151 to 171</t>
  </si>
  <si>
    <t>135 to 150</t>
  </si>
  <si>
    <t>119 to 134</t>
  </si>
  <si>
    <t>103 to 118</t>
  </si>
  <si>
    <t>87 to 102</t>
  </si>
  <si>
    <t>71 to 86</t>
  </si>
  <si>
    <t>0 to 70</t>
  </si>
  <si>
    <t>Range</t>
  </si>
  <si>
    <t>Contrato</t>
  </si>
  <si>
    <t>Dados Financeiros</t>
  </si>
  <si>
    <t>Dados Adicionais</t>
  </si>
  <si>
    <t>Renovação</t>
  </si>
  <si>
    <t>PRAZO</t>
  </si>
  <si>
    <t>VOLUME</t>
  </si>
  <si>
    <t>BRL '000s</t>
  </si>
  <si>
    <t>Proposta:</t>
  </si>
  <si>
    <t>Novo Limite</t>
  </si>
  <si>
    <t>Detalhes:</t>
  </si>
  <si>
    <t>Aumento de Limite</t>
  </si>
  <si>
    <t>Receita Operacional Líquida</t>
  </si>
  <si>
    <t>Var +</t>
  </si>
  <si>
    <t>One-Off</t>
  </si>
  <si>
    <t>5 anos</t>
  </si>
  <si>
    <t>A+ / A / A-</t>
  </si>
  <si>
    <t>40MWm</t>
  </si>
  <si>
    <t>Resultado Operacional</t>
  </si>
  <si>
    <t>Solicitante:</t>
  </si>
  <si>
    <t>Data Análise</t>
  </si>
  <si>
    <t>BBB+/BBB</t>
  </si>
  <si>
    <t>30MWm</t>
  </si>
  <si>
    <t>SG&amp;A</t>
  </si>
  <si>
    <t>4 anos</t>
  </si>
  <si>
    <t>20MWm</t>
  </si>
  <si>
    <t>Fundação Empresa:</t>
  </si>
  <si>
    <t>Entrada Novos Sócios:</t>
  </si>
  <si>
    <t>3 anos</t>
  </si>
  <si>
    <t>10MWm</t>
  </si>
  <si>
    <t>Margem EBITDA (%)</t>
  </si>
  <si>
    <t>+ de 5 anos</t>
  </si>
  <si>
    <t>2 anos</t>
  </si>
  <si>
    <t>5MWm</t>
  </si>
  <si>
    <t>Despesa Financeira</t>
  </si>
  <si>
    <t>1 ano</t>
  </si>
  <si>
    <t>2MWm</t>
  </si>
  <si>
    <t>Impostos e Taxas</t>
  </si>
  <si>
    <t>Ramo:</t>
  </si>
  <si>
    <t>6 meses</t>
  </si>
  <si>
    <t>B-</t>
  </si>
  <si>
    <t>1MWm</t>
  </si>
  <si>
    <t>Lucro Líquido (%)</t>
  </si>
  <si>
    <t xml:space="preserve">Rating Clime: </t>
  </si>
  <si>
    <t>S&amp;P / Moodys</t>
  </si>
  <si>
    <t>NO TRADE</t>
  </si>
  <si>
    <t>Cash Flow Livre</t>
  </si>
  <si>
    <t>max 9</t>
  </si>
  <si>
    <t>até B- / B3</t>
  </si>
  <si>
    <t>Sócios</t>
  </si>
  <si>
    <t>Participações</t>
  </si>
  <si>
    <t>Patrimônio Líquido</t>
  </si>
  <si>
    <t>Dívida Financeira Curto</t>
  </si>
  <si>
    <t>Var -</t>
  </si>
  <si>
    <t>Dívida Financeira Longo</t>
  </si>
  <si>
    <t>Dívida Financeira Total</t>
  </si>
  <si>
    <t>Dívida Líquida</t>
  </si>
  <si>
    <t>Pontualidade de Pagto:</t>
  </si>
  <si>
    <t>Fontes:</t>
  </si>
  <si>
    <t>Caixa e aplicações financeiras</t>
  </si>
  <si>
    <t>acima de 70%</t>
  </si>
  <si>
    <t>mais de 15</t>
  </si>
  <si>
    <t>Ativo Total</t>
  </si>
  <si>
    <t>Restrições Financeiras:</t>
  </si>
  <si>
    <t>Protesto / Pefin</t>
  </si>
  <si>
    <t>Bancária</t>
  </si>
  <si>
    <t>Ação Judicial</t>
  </si>
  <si>
    <t>Despesa Financeira/EBITDA</t>
  </si>
  <si>
    <t>Prox. de 0</t>
  </si>
  <si>
    <t>Ocorrências</t>
  </si>
  <si>
    <t>Dívida Fin. Líquida/EBITDA</t>
  </si>
  <si>
    <t>até 3 x</t>
  </si>
  <si>
    <t>Relevantes:</t>
  </si>
  <si>
    <t>Nenhuma</t>
  </si>
  <si>
    <t>Liquidez</t>
  </si>
  <si>
    <t>acime de 1</t>
  </si>
  <si>
    <t>Alavancagem</t>
  </si>
  <si>
    <t>Atual</t>
  </si>
  <si>
    <t>Pós Operação</t>
  </si>
  <si>
    <t>Limite Atual</t>
  </si>
  <si>
    <t>Risco Crédito:</t>
  </si>
  <si>
    <t>PME</t>
  </si>
  <si>
    <t>Risco Net Contratos:</t>
  </si>
  <si>
    <t>PMR</t>
  </si>
  <si>
    <t>Menor que PMP</t>
  </si>
  <si>
    <t>menor que limite</t>
  </si>
  <si>
    <t>PMP</t>
  </si>
  <si>
    <t>Maior que PMR</t>
  </si>
  <si>
    <t>Resultado Análise de Crédito</t>
  </si>
  <si>
    <t>Observações:</t>
  </si>
  <si>
    <t>Faturamento 5%</t>
  </si>
  <si>
    <t>RRL</t>
  </si>
  <si>
    <t>Limite de Contrato</t>
  </si>
  <si>
    <t>Limite de Crédito</t>
  </si>
  <si>
    <t>Prazo Limite</t>
  </si>
  <si>
    <t>Aprovação</t>
  </si>
  <si>
    <t>Rating Clime</t>
  </si>
  <si>
    <t>Entr Sócio</t>
  </si>
  <si>
    <t>Δ Vendas</t>
  </si>
  <si>
    <t>Lucro Bruto</t>
  </si>
  <si>
    <t>Δ Lucro Bruto</t>
  </si>
  <si>
    <t>Lucro</t>
  </si>
  <si>
    <t>Δ Lucro</t>
  </si>
  <si>
    <t>PL</t>
  </si>
  <si>
    <t>Δ PL</t>
  </si>
  <si>
    <t>Div Total</t>
  </si>
  <si>
    <t>Δ Div  Total</t>
  </si>
  <si>
    <t>Imposto Pago</t>
  </si>
  <si>
    <t>Caixa</t>
  </si>
  <si>
    <t>Δ Caixa</t>
  </si>
  <si>
    <t>Div Liq /EBITDA</t>
  </si>
  <si>
    <t>INVESTIMENTOS</t>
  </si>
  <si>
    <t>EMPRÉSTIMO (CIRCULANTE DO LONGO PRAZO)</t>
  </si>
  <si>
    <t>,</t>
  </si>
  <si>
    <t>ADIANTAMENTOS</t>
  </si>
  <si>
    <t>RESERVAS</t>
  </si>
  <si>
    <t>DESPESAS PESSOAIS</t>
  </si>
  <si>
    <t>OUTRAS RECEITAS / DESPESAS</t>
  </si>
  <si>
    <t>RESULTADO NÃO OPERACIONAL</t>
  </si>
  <si>
    <t>EQUIVALENCIA PATRIMONIAL</t>
  </si>
  <si>
    <t>CREDITOS FISCAIS A RECUPERAR</t>
  </si>
  <si>
    <t>CLIENTES</t>
  </si>
  <si>
    <t>SALARIOS E ENCARGOS SOCIAIS</t>
  </si>
  <si>
    <t>OBRIGAÇÕES TRIBUTÁRIAS</t>
  </si>
  <si>
    <t>CONCESSÕES A PAGAR</t>
  </si>
  <si>
    <t>ADIANTAMENTO DE CLIENTES</t>
  </si>
  <si>
    <t>PROVISÃO</t>
  </si>
  <si>
    <t>CPF/CNPJSÓCIO/ACIONISTAENTRADANACIONALIDADEVOTANTETOTAL</t>
  </si>
  <si>
    <t>MB COMERCIO E PARTICIPACOES LTDA30/04/1980BRASIL0,00,0</t>
  </si>
  <si>
    <t>01/12/1980BRASIL0,00,0</t>
  </si>
  <si>
    <t>31/07/1987BRASIL0,00,0</t>
  </si>
  <si>
    <t>28/11/1993BRASIL0,00,0</t>
  </si>
  <si>
    <t>12/08/1999BRASIL0,00,0</t>
  </si>
  <si>
    <t>ADIANTAMENTO</t>
  </si>
  <si>
    <t>REPACTO RISCO HIDROLÓGICO</t>
  </si>
  <si>
    <t>Auditoria</t>
  </si>
  <si>
    <t>ATIVOS DERIVATIVOS</t>
  </si>
  <si>
    <t>DERIVATIVOS</t>
  </si>
  <si>
    <t>Eude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</si>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</sst>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&quot;R$&quot;\ #,##0;[Red]\-&quot;R$&quot;\ #,##0"/>
    <numFmt numFmtId="164" formatCode="_(* #,##0.00_);_(* \(#,##0.00\);_(* &quot;-&quot;??_);_(@_)"/>
    <numFmt numFmtId="165" formatCode="m/d/yy"/>
    <numFmt numFmtId="166" formatCode="_(* #,##0_);_(* \(#,##0\);_(* &quot;-&quot;??_);_(@_)"/>
    <numFmt numFmtId="167" formatCode="mm/dd/yy;@"/>
    <numFmt numFmtId="168" formatCode="m/d/yy;@"/>
    <numFmt numFmtId="169" formatCode="0.0000"/>
    <numFmt numFmtId="170" formatCode="0.000"/>
    <numFmt numFmtId="171" formatCode="0.0%"/>
    <numFmt numFmtId="172" formatCode="General_)"/>
    <numFmt numFmtId="173" formatCode="0.0000_)"/>
    <numFmt numFmtId="174" formatCode="0.000_)"/>
    <numFmt numFmtId="175" formatCode="0_)"/>
    <numFmt numFmtId="176" formatCode="#,##0;&quot;-&quot;#,##0"/>
    <numFmt numFmtId="177" formatCode="dd\-mmm\-yy"/>
    <numFmt numFmtId="178" formatCode="#,##0.0000_);\(#,##0.0000\)"/>
    <numFmt numFmtId="179" formatCode="#,##0.0000;[Red]\-#,##0.0000"/>
    <numFmt numFmtId="180" formatCode="[$-416]d\-mmm\-yy;@"/>
    <numFmt numFmtId="181" formatCode="d\-mmm\-yyyy"/>
    <numFmt numFmtId="182" formatCode="#,##0.0_);[Red]\(#,##0.0\)"/>
    <numFmt numFmtId="183" formatCode="#,##0.000_);[Red]\(#,##0.000\)"/>
    <numFmt numFmtId="184" formatCode="0.000%"/>
    <numFmt numFmtId="185" formatCode="#,##0.000_);\(#,##0.000\)"/>
    <numFmt numFmtId="186" formatCode="#,##0.00;&quot;-&quot;#,##0.00"/>
    <numFmt numFmtId="187" formatCode="0\º"/>
    <numFmt numFmtId="188" formatCode="#,##0_);\(#,##0\)"/>
    <numFmt numFmtId="189" formatCode="0.0\x"/>
    <numFmt numFmtId="190" formatCode="0.00\x"/>
  </numFmts>
  <fonts count="7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b/>
      <u/>
      <sz val="8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i/>
      <sz val="10"/>
      <color indexed="9"/>
      <name val="Arial"/>
      <family val="2"/>
    </font>
    <font>
      <u/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i/>
      <sz val="9"/>
      <color indexed="12"/>
      <name val="Arial"/>
      <family val="2"/>
    </font>
    <font>
      <b/>
      <i/>
      <sz val="9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indexed="12"/>
      <name val="Arial"/>
      <family val="2"/>
    </font>
    <font>
      <b/>
      <sz val="9"/>
      <name val="Arial"/>
      <family val="2"/>
    </font>
    <font>
      <b/>
      <i/>
      <sz val="13"/>
      <color indexed="10"/>
      <name val="Arial"/>
      <family val="2"/>
    </font>
    <font>
      <b/>
      <i/>
      <sz val="13"/>
      <color indexed="9"/>
      <name val="Arial"/>
      <family val="2"/>
    </font>
    <font>
      <b/>
      <sz val="8"/>
      <color indexed="10"/>
      <name val="Arial"/>
      <family val="2"/>
    </font>
    <font>
      <sz val="10"/>
      <name val="Courier"/>
      <family val="3"/>
    </font>
    <font>
      <sz val="8"/>
      <color indexed="47"/>
      <name val="Arial"/>
      <family val="2"/>
    </font>
    <font>
      <b/>
      <i/>
      <sz val="8"/>
      <color indexed="10"/>
      <name val="Arial"/>
      <family val="2"/>
    </font>
    <font>
      <b/>
      <sz val="8"/>
      <color indexed="12"/>
      <name val="Arial"/>
      <family val="2"/>
    </font>
    <font>
      <sz val="11"/>
      <name val="Calibri"/>
      <family val="2"/>
    </font>
    <font>
      <b/>
      <sz val="8"/>
      <color indexed="22"/>
      <name val="Arial"/>
      <family val="2"/>
    </font>
    <font>
      <b/>
      <sz val="9"/>
      <color indexed="8"/>
      <name val="Arial"/>
      <family val="2"/>
    </font>
    <font>
      <b/>
      <u/>
      <sz val="8"/>
      <color indexed="10"/>
      <name val="Arial"/>
      <family val="2"/>
    </font>
    <font>
      <b/>
      <i/>
      <sz val="14"/>
      <color indexed="9"/>
      <name val="Arial"/>
      <family val="2"/>
    </font>
    <font>
      <b/>
      <i/>
      <sz val="12"/>
      <color indexed="9"/>
      <name val="Arial"/>
      <family val="2"/>
    </font>
    <font>
      <b/>
      <i/>
      <sz val="16"/>
      <color indexed="53"/>
      <name val="Arial"/>
      <family val="2"/>
    </font>
    <font>
      <sz val="8"/>
      <color indexed="12"/>
      <name val="Arial"/>
      <family val="2"/>
    </font>
    <font>
      <b/>
      <sz val="8"/>
      <color indexed="18"/>
      <name val="Arial"/>
      <family val="2"/>
    </font>
    <font>
      <b/>
      <sz val="8"/>
      <color indexed="14"/>
      <name val="Arial"/>
      <family val="2"/>
    </font>
    <font>
      <sz val="8"/>
      <color indexed="9"/>
      <name val="Arial"/>
      <family val="2"/>
    </font>
    <font>
      <b/>
      <i/>
      <sz val="8"/>
      <color indexed="17"/>
      <name val="Arial"/>
      <family val="2"/>
    </font>
    <font>
      <b/>
      <u/>
      <sz val="8"/>
      <color indexed="9"/>
      <name val="Arial"/>
      <family val="2"/>
    </font>
    <font>
      <b/>
      <sz val="8"/>
      <color indexed="17"/>
      <name val="Arial"/>
      <family val="2"/>
    </font>
    <font>
      <u/>
      <sz val="8"/>
      <color indexed="9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7.5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8"/>
      <color theme="4" tint="0.59999389629810485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sz val="8"/>
      <color theme="4"/>
      <name val="Arial"/>
      <family val="2"/>
    </font>
    <font>
      <sz val="8"/>
      <color theme="1"/>
      <name val="Arial"/>
      <family val="2"/>
    </font>
    <font>
      <sz val="8"/>
      <color theme="9"/>
      <name val="Arial"/>
      <family val="2"/>
    </font>
    <font>
      <b/>
      <sz val="9"/>
      <color theme="0"/>
      <name val="Arial"/>
      <family val="2"/>
    </font>
    <font>
      <i/>
      <sz val="9"/>
      <name val="Arial"/>
      <family val="2"/>
    </font>
    <font>
      <sz val="11"/>
      <color theme="0"/>
      <name val="Calibri"/>
      <family val="2"/>
      <scheme val="minor"/>
    </font>
    <font>
      <sz val="10"/>
      <color rgb="FF0000FF"/>
      <name val="Arial"/>
      <family val="2"/>
    </font>
    <font>
      <b/>
      <sz val="9"/>
      <color theme="0" tint="-0.499984740745262"/>
      <name val="Arial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sz val="8"/>
      <color rgb="FF0000FF"/>
      <name val="Arial"/>
      <family val="2"/>
    </font>
    <font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</patternFill>
    </fill>
    <fill>
      <patternFill patternType="gray125">
        <bgColor indexed="9"/>
      </patternFill>
    </fill>
    <fill>
      <patternFill patternType="solid">
        <fgColor indexed="44"/>
        <bgColor indexed="64"/>
      </patternFill>
    </fill>
    <fill>
      <patternFill patternType="solid">
        <fgColor indexed="44"/>
        <bgColor indexed="12"/>
      </patternFill>
    </fill>
    <fill>
      <patternFill patternType="solid">
        <fgColor indexed="42"/>
        <bgColor indexed="21"/>
      </patternFill>
    </fill>
    <fill>
      <patternFill patternType="lightGray">
        <fgColor indexed="26"/>
        <bgColor indexed="26"/>
      </patternFill>
    </fill>
    <fill>
      <patternFill patternType="solid">
        <fgColor indexed="47"/>
        <bgColor indexed="1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9"/>
        <bgColor indexed="64"/>
      </patternFill>
    </fill>
    <fill>
      <patternFill patternType="mediumGray">
        <fgColor indexed="13"/>
      </patternFill>
    </fill>
    <fill>
      <patternFill patternType="gray125">
        <bgColor indexed="47"/>
      </patternFill>
    </fill>
    <fill>
      <patternFill patternType="gray125">
        <bgColor indexed="43"/>
      </patternFill>
    </fill>
    <fill>
      <patternFill patternType="mediumGray">
        <fgColor indexed="10"/>
      </patternFill>
    </fill>
    <fill>
      <patternFill patternType="solid">
        <fgColor indexed="19"/>
      </patternFill>
    </fill>
    <fill>
      <patternFill patternType="solid">
        <fgColor indexed="23"/>
        <bgColor indexed="9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14"/>
      </patternFill>
    </fill>
    <fill>
      <patternFill patternType="solid">
        <fgColor indexed="26"/>
        <bgColor indexed="26"/>
      </patternFill>
    </fill>
    <fill>
      <patternFill patternType="solid">
        <fgColor indexed="29"/>
        <bgColor indexed="29"/>
      </patternFill>
    </fill>
    <fill>
      <patternFill patternType="solid">
        <fgColor indexed="47"/>
        <bgColor indexed="13"/>
      </patternFill>
    </fill>
    <fill>
      <patternFill patternType="solid">
        <fgColor indexed="43"/>
        <bgColor indexed="13"/>
      </patternFill>
    </fill>
    <fill>
      <patternFill patternType="solid">
        <fgColor indexed="9"/>
        <bgColor indexed="13"/>
      </patternFill>
    </fill>
    <fill>
      <patternFill patternType="solid">
        <fgColor theme="0"/>
        <bgColor indexed="11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13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9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 style="dotted">
        <color theme="3" tint="0.39994506668294322"/>
      </bottom>
      <diagonal/>
    </border>
    <border>
      <left style="thin">
        <color indexed="64"/>
      </left>
      <right style="thin">
        <color indexed="64"/>
      </right>
      <top style="dotted">
        <color theme="3" tint="0.39994506668294322"/>
      </top>
      <bottom style="dotted">
        <color theme="3" tint="0.39994506668294322"/>
      </bottom>
      <diagonal/>
    </border>
    <border>
      <left style="thin">
        <color indexed="64"/>
      </left>
      <right style="thin">
        <color indexed="64"/>
      </right>
      <top style="dotted">
        <color theme="3" tint="0.39994506668294322"/>
      </top>
      <bottom/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16" fillId="0" borderId="0"/>
    <xf numFmtId="0" fontId="54" fillId="0" borderId="0"/>
    <xf numFmtId="0" fontId="16" fillId="0" borderId="0"/>
    <xf numFmtId="176" fontId="31" fillId="0" borderId="0" applyBorder="0"/>
    <xf numFmtId="9" fontId="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</cellStyleXfs>
  <cellXfs count="1167">
    <xf numFmtId="0" fontId="0" fillId="0" borderId="0" xfId="0"/>
    <xf numFmtId="0" fontId="3" fillId="3" borderId="0" xfId="0" applyFont="1" applyFill="1"/>
    <xf numFmtId="0" fontId="5" fillId="3" borderId="0" xfId="0" applyFont="1" applyFill="1"/>
    <xf numFmtId="0" fontId="2" fillId="0" borderId="0" xfId="0" applyFont="1"/>
    <xf numFmtId="0" fontId="2" fillId="3" borderId="0" xfId="0" applyFont="1" applyFill="1"/>
    <xf numFmtId="172" fontId="16" fillId="3" borderId="0" xfId="0" applyNumberFormat="1" applyFont="1" applyFill="1" applyAlignment="1" applyProtection="1">
      <alignment horizontal="left"/>
      <protection locked="0"/>
    </xf>
    <xf numFmtId="0" fontId="16" fillId="3" borderId="0" xfId="0" applyFont="1" applyFill="1" applyProtection="1">
      <protection locked="0"/>
    </xf>
    <xf numFmtId="15" fontId="17" fillId="3" borderId="0" xfId="0" quotePrefix="1" applyNumberFormat="1" applyFont="1" applyFill="1" applyAlignment="1" applyProtection="1">
      <alignment horizontal="right"/>
      <protection locked="0"/>
    </xf>
    <xf numFmtId="172" fontId="16" fillId="3" borderId="0" xfId="0" applyNumberFormat="1" applyFont="1" applyFill="1" applyAlignment="1" applyProtection="1">
      <alignment horizontal="center"/>
      <protection locked="0"/>
    </xf>
    <xf numFmtId="0" fontId="17" fillId="3" borderId="0" xfId="0" applyFont="1" applyFill="1" applyProtection="1">
      <protection locked="0"/>
    </xf>
    <xf numFmtId="172" fontId="17" fillId="3" borderId="0" xfId="0" applyNumberFormat="1" applyFont="1" applyFill="1" applyAlignment="1" applyProtection="1">
      <alignment horizontal="left"/>
      <protection locked="0"/>
    </xf>
    <xf numFmtId="172" fontId="17" fillId="3" borderId="0" xfId="0" applyNumberFormat="1" applyFont="1" applyFill="1" applyAlignment="1" applyProtection="1">
      <alignment horizontal="center"/>
      <protection locked="0"/>
    </xf>
    <xf numFmtId="0" fontId="16" fillId="3" borderId="0" xfId="0" applyFont="1" applyFill="1" applyAlignment="1" applyProtection="1">
      <alignment horizontal="left"/>
      <protection locked="0"/>
    </xf>
    <xf numFmtId="0" fontId="17" fillId="3" borderId="0" xfId="0" applyFont="1" applyFill="1" applyAlignment="1" applyProtection="1">
      <alignment horizontal="left"/>
      <protection locked="0"/>
    </xf>
    <xf numFmtId="172" fontId="18" fillId="3" borderId="0" xfId="0" applyNumberFormat="1" applyFont="1" applyFill="1" applyAlignment="1" applyProtection="1">
      <alignment horizontal="left"/>
      <protection locked="0"/>
    </xf>
    <xf numFmtId="15" fontId="17" fillId="3" borderId="0" xfId="0" quotePrefix="1" applyNumberFormat="1" applyFont="1" applyFill="1" applyAlignment="1" applyProtection="1">
      <alignment horizontal="center"/>
      <protection locked="0"/>
    </xf>
    <xf numFmtId="15" fontId="17" fillId="3" borderId="0" xfId="0" applyNumberFormat="1" applyFont="1" applyFill="1" applyAlignment="1" applyProtection="1">
      <alignment horizontal="center"/>
      <protection locked="0"/>
    </xf>
    <xf numFmtId="49" fontId="18" fillId="3" borderId="0" xfId="0" applyNumberFormat="1" applyFont="1" applyFill="1" applyAlignment="1" applyProtection="1">
      <alignment horizontal="left"/>
      <protection locked="0"/>
    </xf>
    <xf numFmtId="172" fontId="16" fillId="3" borderId="1" xfId="0" applyNumberFormat="1" applyFont="1" applyFill="1" applyBorder="1" applyAlignment="1" applyProtection="1">
      <alignment horizontal="center"/>
      <protection locked="0"/>
    </xf>
    <xf numFmtId="172" fontId="16" fillId="3" borderId="2" xfId="0" applyNumberFormat="1" applyFont="1" applyFill="1" applyBorder="1" applyAlignment="1" applyProtection="1">
      <alignment horizontal="fill"/>
      <protection locked="0"/>
    </xf>
    <xf numFmtId="172" fontId="16" fillId="3" borderId="3" xfId="0" applyNumberFormat="1" applyFont="1" applyFill="1" applyBorder="1" applyAlignment="1" applyProtection="1">
      <alignment horizontal="fill"/>
      <protection locked="0"/>
    </xf>
    <xf numFmtId="172" fontId="16" fillId="3" borderId="4" xfId="0" applyNumberFormat="1" applyFont="1" applyFill="1" applyBorder="1" applyAlignment="1" applyProtection="1">
      <alignment horizontal="fill"/>
      <protection locked="0"/>
    </xf>
    <xf numFmtId="172" fontId="16" fillId="3" borderId="5" xfId="0" applyNumberFormat="1" applyFont="1" applyFill="1" applyBorder="1" applyAlignment="1" applyProtection="1">
      <alignment horizontal="fill"/>
      <protection locked="0"/>
    </xf>
    <xf numFmtId="2" fontId="16" fillId="3" borderId="3" xfId="0" applyNumberFormat="1" applyFont="1" applyFill="1" applyBorder="1" applyAlignment="1" applyProtection="1">
      <alignment horizontal="fill"/>
      <protection locked="0"/>
    </xf>
    <xf numFmtId="0" fontId="16" fillId="3" borderId="0" xfId="0" applyFont="1" applyFill="1" applyAlignment="1" applyProtection="1">
      <alignment horizontal="center"/>
      <protection locked="0"/>
    </xf>
    <xf numFmtId="172" fontId="16" fillId="3" borderId="6" xfId="0" applyNumberFormat="1" applyFont="1" applyFill="1" applyBorder="1" applyAlignment="1" applyProtection="1">
      <alignment horizontal="center"/>
      <protection locked="0"/>
    </xf>
    <xf numFmtId="9" fontId="16" fillId="3" borderId="0" xfId="0" applyNumberFormat="1" applyFont="1" applyFill="1" applyProtection="1">
      <protection locked="0"/>
    </xf>
    <xf numFmtId="172" fontId="16" fillId="3" borderId="0" xfId="0" applyNumberFormat="1" applyFont="1" applyFill="1" applyAlignment="1" applyProtection="1">
      <alignment horizontal="fill"/>
      <protection locked="0"/>
    </xf>
    <xf numFmtId="9" fontId="17" fillId="3" borderId="0" xfId="0" applyNumberFormat="1" applyFont="1" applyFill="1" applyProtection="1">
      <protection locked="0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6" xfId="0" applyFont="1" applyFill="1" applyBorder="1" applyProtection="1">
      <protection locked="0"/>
    </xf>
    <xf numFmtId="172" fontId="16" fillId="3" borderId="7" xfId="0" applyNumberFormat="1" applyFont="1" applyFill="1" applyBorder="1" applyAlignment="1" applyProtection="1">
      <alignment horizontal="center"/>
      <protection locked="0"/>
    </xf>
    <xf numFmtId="37" fontId="17" fillId="3" borderId="0" xfId="0" applyNumberFormat="1" applyFont="1" applyFill="1" applyProtection="1">
      <protection locked="0"/>
    </xf>
    <xf numFmtId="38" fontId="17" fillId="3" borderId="0" xfId="8" applyNumberFormat="1" applyFont="1" applyFill="1" applyProtection="1">
      <protection locked="0"/>
    </xf>
    <xf numFmtId="38" fontId="16" fillId="3" borderId="0" xfId="8" applyNumberFormat="1" applyFont="1" applyFill="1" applyAlignment="1" applyProtection="1">
      <alignment horizontal="fill"/>
      <protection locked="0"/>
    </xf>
    <xf numFmtId="0" fontId="18" fillId="3" borderId="0" xfId="0" applyFont="1" applyFill="1" applyAlignment="1" applyProtection="1">
      <alignment horizontal="left"/>
      <protection locked="0"/>
    </xf>
    <xf numFmtId="0" fontId="17" fillId="3" borderId="0" xfId="0" applyFont="1" applyFill="1" applyAlignment="1" applyProtection="1">
      <alignment horizontal="center"/>
      <protection locked="0"/>
    </xf>
    <xf numFmtId="172" fontId="16" fillId="3" borderId="8" xfId="0" applyNumberFormat="1" applyFont="1" applyFill="1" applyBorder="1" applyAlignment="1" applyProtection="1">
      <alignment horizontal="fill"/>
      <protection locked="0"/>
    </xf>
    <xf numFmtId="9" fontId="16" fillId="3" borderId="9" xfId="0" applyNumberFormat="1" applyFont="1" applyFill="1" applyBorder="1" applyProtection="1">
      <protection locked="0"/>
    </xf>
    <xf numFmtId="2" fontId="16" fillId="3" borderId="0" xfId="0" applyNumberFormat="1" applyFont="1" applyFill="1" applyProtection="1">
      <protection locked="0"/>
    </xf>
    <xf numFmtId="172" fontId="16" fillId="3" borderId="0" xfId="0" applyNumberFormat="1" applyFont="1" applyFill="1" applyAlignment="1" applyProtection="1">
      <alignment horizontal="right"/>
      <protection locked="0"/>
    </xf>
    <xf numFmtId="172" fontId="16" fillId="3" borderId="10" xfId="0" applyNumberFormat="1" applyFont="1" applyFill="1" applyBorder="1" applyAlignment="1" applyProtection="1">
      <alignment horizontal="fill"/>
      <protection locked="0"/>
    </xf>
    <xf numFmtId="2" fontId="17" fillId="3" borderId="0" xfId="0" applyNumberFormat="1" applyFont="1" applyFill="1" applyProtection="1">
      <protection locked="0"/>
    </xf>
    <xf numFmtId="172" fontId="16" fillId="3" borderId="1" xfId="0" applyNumberFormat="1" applyFont="1" applyFill="1" applyBorder="1" applyAlignment="1" applyProtection="1">
      <alignment horizontal="left"/>
      <protection locked="0"/>
    </xf>
    <xf numFmtId="172" fontId="16" fillId="3" borderId="2" xfId="0" applyNumberFormat="1" applyFont="1" applyFill="1" applyBorder="1" applyAlignment="1" applyProtection="1">
      <alignment horizontal="left"/>
      <protection locked="0"/>
    </xf>
    <xf numFmtId="2" fontId="16" fillId="3" borderId="2" xfId="0" applyNumberFormat="1" applyFont="1" applyFill="1" applyBorder="1" applyAlignment="1" applyProtection="1">
      <alignment horizontal="left"/>
      <protection locked="0"/>
    </xf>
    <xf numFmtId="0" fontId="16" fillId="3" borderId="2" xfId="0" applyFont="1" applyFill="1" applyBorder="1" applyProtection="1">
      <protection locked="0"/>
    </xf>
    <xf numFmtId="173" fontId="16" fillId="3" borderId="0" xfId="0" applyNumberFormat="1" applyFont="1" applyFill="1" applyAlignment="1" applyProtection="1">
      <alignment horizontal="right" vertical="center"/>
      <protection locked="0"/>
    </xf>
    <xf numFmtId="0" fontId="16" fillId="3" borderId="11" xfId="0" applyFont="1" applyFill="1" applyBorder="1" applyProtection="1">
      <protection locked="0"/>
    </xf>
    <xf numFmtId="173" fontId="16" fillId="3" borderId="0" xfId="0" applyNumberFormat="1" applyFont="1" applyFill="1" applyProtection="1">
      <protection locked="0"/>
    </xf>
    <xf numFmtId="0" fontId="16" fillId="3" borderId="12" xfId="0" applyFont="1" applyFill="1" applyBorder="1" applyProtection="1">
      <protection locked="0"/>
    </xf>
    <xf numFmtId="169" fontId="16" fillId="3" borderId="0" xfId="0" applyNumberFormat="1" applyFont="1" applyFill="1" applyProtection="1">
      <protection locked="0"/>
    </xf>
    <xf numFmtId="172" fontId="16" fillId="3" borderId="13" xfId="0" applyNumberFormat="1" applyFont="1" applyFill="1" applyBorder="1" applyAlignment="1" applyProtection="1">
      <alignment horizontal="fill"/>
      <protection locked="0"/>
    </xf>
    <xf numFmtId="2" fontId="16" fillId="3" borderId="0" xfId="0" applyNumberFormat="1" applyFont="1" applyFill="1" applyAlignment="1" applyProtection="1">
      <alignment horizontal="fill"/>
      <protection locked="0"/>
    </xf>
    <xf numFmtId="0" fontId="16" fillId="3" borderId="0" xfId="0" quotePrefix="1" applyFont="1" applyFill="1" applyAlignment="1" applyProtection="1">
      <alignment horizontal="left"/>
      <protection locked="0"/>
    </xf>
    <xf numFmtId="2" fontId="17" fillId="3" borderId="0" xfId="0" applyNumberFormat="1" applyFont="1" applyFill="1" applyAlignment="1" applyProtection="1">
      <alignment horizontal="center"/>
      <protection locked="0"/>
    </xf>
    <xf numFmtId="172" fontId="17" fillId="3" borderId="0" xfId="0" applyNumberFormat="1" applyFont="1" applyFill="1" applyAlignment="1" applyProtection="1">
      <alignment horizontal="right"/>
      <protection locked="0"/>
    </xf>
    <xf numFmtId="10" fontId="17" fillId="3" borderId="0" xfId="0" applyNumberFormat="1" applyFont="1" applyFill="1" applyAlignment="1" applyProtection="1">
      <alignment horizontal="left"/>
      <protection locked="0"/>
    </xf>
    <xf numFmtId="37" fontId="16" fillId="3" borderId="0" xfId="0" applyNumberFormat="1" applyFont="1" applyFill="1" applyProtection="1">
      <protection locked="0"/>
    </xf>
    <xf numFmtId="2" fontId="17" fillId="3" borderId="2" xfId="0" applyNumberFormat="1" applyFont="1" applyFill="1" applyBorder="1" applyProtection="1">
      <protection locked="0"/>
    </xf>
    <xf numFmtId="10" fontId="16" fillId="3" borderId="2" xfId="0" applyNumberFormat="1" applyFont="1" applyFill="1" applyBorder="1" applyProtection="1">
      <protection locked="0"/>
    </xf>
    <xf numFmtId="172" fontId="16" fillId="3" borderId="12" xfId="0" applyNumberFormat="1" applyFont="1" applyFill="1" applyBorder="1" applyAlignment="1" applyProtection="1">
      <alignment horizontal="fill"/>
      <protection locked="0"/>
    </xf>
    <xf numFmtId="2" fontId="16" fillId="3" borderId="12" xfId="0" applyNumberFormat="1" applyFont="1" applyFill="1" applyBorder="1" applyAlignment="1" applyProtection="1">
      <alignment horizontal="fill"/>
      <protection locked="0"/>
    </xf>
    <xf numFmtId="172" fontId="16" fillId="3" borderId="14" xfId="0" applyNumberFormat="1" applyFont="1" applyFill="1" applyBorder="1" applyAlignment="1" applyProtection="1">
      <alignment horizontal="fill"/>
      <protection locked="0"/>
    </xf>
    <xf numFmtId="172" fontId="16" fillId="3" borderId="0" xfId="0" applyNumberFormat="1" applyFont="1" applyFill="1" applyProtection="1"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37" fontId="16" fillId="3" borderId="0" xfId="0" applyNumberFormat="1" applyFont="1" applyFill="1" applyAlignment="1" applyProtection="1">
      <alignment horizontal="right"/>
      <protection locked="0"/>
    </xf>
    <xf numFmtId="39" fontId="16" fillId="3" borderId="0" xfId="0" applyNumberFormat="1" applyFont="1" applyFill="1" applyProtection="1">
      <protection locked="0"/>
    </xf>
    <xf numFmtId="10" fontId="16" fillId="3" borderId="0" xfId="0" applyNumberFormat="1" applyFont="1" applyFill="1" applyProtection="1">
      <protection locked="0"/>
    </xf>
    <xf numFmtId="1" fontId="17" fillId="4" borderId="15" xfId="0" applyNumberFormat="1" applyFont="1" applyFill="1" applyBorder="1" applyAlignment="1" applyProtection="1">
      <alignment horizontal="center" vertical="center"/>
      <protection locked="0"/>
    </xf>
    <xf numFmtId="172" fontId="20" fillId="3" borderId="0" xfId="0" applyNumberFormat="1" applyFont="1" applyFill="1" applyAlignment="1" applyProtection="1">
      <alignment horizontal="left"/>
      <protection locked="0"/>
    </xf>
    <xf numFmtId="172" fontId="21" fillId="3" borderId="0" xfId="0" applyNumberFormat="1" applyFont="1" applyFill="1" applyAlignment="1" applyProtection="1">
      <alignment horizontal="center"/>
      <protection locked="0"/>
    </xf>
    <xf numFmtId="172" fontId="20" fillId="3" borderId="0" xfId="0" applyNumberFormat="1" applyFont="1" applyFill="1" applyAlignment="1" applyProtection="1">
      <alignment horizontal="center"/>
      <protection locked="0"/>
    </xf>
    <xf numFmtId="0" fontId="20" fillId="3" borderId="0" xfId="0" applyFont="1" applyFill="1" applyAlignment="1" applyProtection="1">
      <alignment horizontal="center"/>
      <protection locked="0"/>
    </xf>
    <xf numFmtId="172" fontId="5" fillId="3" borderId="0" xfId="0" applyNumberFormat="1" applyFont="1" applyFill="1" applyAlignment="1" applyProtection="1">
      <alignment horizontal="left"/>
      <protection locked="0"/>
    </xf>
    <xf numFmtId="173" fontId="16" fillId="3" borderId="2" xfId="0" applyNumberFormat="1" applyFont="1" applyFill="1" applyBorder="1" applyAlignment="1" applyProtection="1">
      <alignment horizontal="right" vertical="center"/>
      <protection locked="0"/>
    </xf>
    <xf numFmtId="172" fontId="22" fillId="3" borderId="0" xfId="0" applyNumberFormat="1" applyFont="1" applyFill="1" applyAlignment="1" applyProtection="1">
      <alignment horizontal="left"/>
      <protection locked="0"/>
    </xf>
    <xf numFmtId="172" fontId="23" fillId="3" borderId="0" xfId="0" applyNumberFormat="1" applyFont="1" applyFill="1" applyAlignment="1" applyProtection="1">
      <alignment horizontal="left"/>
      <protection locked="0"/>
    </xf>
    <xf numFmtId="164" fontId="17" fillId="3" borderId="0" xfId="8" applyFont="1" applyFill="1" applyProtection="1">
      <protection locked="0"/>
    </xf>
    <xf numFmtId="2" fontId="16" fillId="3" borderId="13" xfId="0" applyNumberFormat="1" applyFont="1" applyFill="1" applyBorder="1" applyAlignment="1" applyProtection="1">
      <alignment horizontal="fill"/>
      <protection locked="0"/>
    </xf>
    <xf numFmtId="172" fontId="16" fillId="3" borderId="16" xfId="0" applyNumberFormat="1" applyFont="1" applyFill="1" applyBorder="1" applyAlignment="1" applyProtection="1">
      <alignment horizontal="center"/>
      <protection locked="0"/>
    </xf>
    <xf numFmtId="164" fontId="17" fillId="3" borderId="17" xfId="8" applyFont="1" applyFill="1" applyBorder="1" applyProtection="1">
      <protection locked="0"/>
    </xf>
    <xf numFmtId="164" fontId="16" fillId="3" borderId="18" xfId="8" applyFont="1" applyFill="1" applyBorder="1" applyAlignment="1" applyProtection="1">
      <alignment horizontal="fill"/>
      <protection locked="0"/>
    </xf>
    <xf numFmtId="164" fontId="16" fillId="3" borderId="9" xfId="8" applyFont="1" applyFill="1" applyBorder="1" applyAlignment="1" applyProtection="1">
      <alignment horizontal="fill"/>
      <protection locked="0"/>
    </xf>
    <xf numFmtId="164" fontId="16" fillId="3" borderId="18" xfId="8" applyFont="1" applyFill="1" applyBorder="1" applyProtection="1">
      <protection locked="0"/>
    </xf>
    <xf numFmtId="164" fontId="16" fillId="3" borderId="9" xfId="8" applyFont="1" applyFill="1" applyBorder="1" applyProtection="1">
      <protection locked="0"/>
    </xf>
    <xf numFmtId="164" fontId="17" fillId="3" borderId="18" xfId="8" applyFont="1" applyFill="1" applyBorder="1" applyProtection="1">
      <protection locked="0"/>
    </xf>
    <xf numFmtId="164" fontId="17" fillId="3" borderId="9" xfId="8" applyFont="1" applyFill="1" applyBorder="1" applyProtection="1">
      <protection locked="0"/>
    </xf>
    <xf numFmtId="172" fontId="16" fillId="3" borderId="19" xfId="0" applyNumberFormat="1" applyFont="1" applyFill="1" applyBorder="1" applyAlignment="1" applyProtection="1">
      <alignment horizontal="center"/>
      <protection locked="0"/>
    </xf>
    <xf numFmtId="164" fontId="17" fillId="3" borderId="20" xfId="8" applyFont="1" applyFill="1" applyBorder="1" applyProtection="1">
      <protection locked="0"/>
    </xf>
    <xf numFmtId="164" fontId="16" fillId="3" borderId="4" xfId="8" applyFont="1" applyFill="1" applyBorder="1" applyAlignment="1" applyProtection="1">
      <alignment horizontal="fill"/>
      <protection locked="0"/>
    </xf>
    <xf numFmtId="2" fontId="16" fillId="3" borderId="5" xfId="0" applyNumberFormat="1" applyFont="1" applyFill="1" applyBorder="1" applyAlignment="1" applyProtection="1">
      <alignment horizontal="fill"/>
      <protection locked="0"/>
    </xf>
    <xf numFmtId="172" fontId="16" fillId="3" borderId="21" xfId="0" applyNumberFormat="1" applyFont="1" applyFill="1" applyBorder="1" applyAlignment="1" applyProtection="1">
      <alignment horizontal="left"/>
      <protection locked="0"/>
    </xf>
    <xf numFmtId="169" fontId="16" fillId="3" borderId="21" xfId="0" applyNumberFormat="1" applyFont="1" applyFill="1" applyBorder="1" applyProtection="1">
      <protection locked="0"/>
    </xf>
    <xf numFmtId="0" fontId="16" fillId="3" borderId="21" xfId="0" applyFont="1" applyFill="1" applyBorder="1" applyProtection="1">
      <protection locked="0"/>
    </xf>
    <xf numFmtId="173" fontId="16" fillId="3" borderId="21" xfId="0" applyNumberFormat="1" applyFont="1" applyFill="1" applyBorder="1" applyProtection="1">
      <protection locked="0"/>
    </xf>
    <xf numFmtId="0" fontId="16" fillId="3" borderId="22" xfId="0" applyFont="1" applyFill="1" applyBorder="1" applyProtection="1">
      <protection locked="0"/>
    </xf>
    <xf numFmtId="0" fontId="16" fillId="3" borderId="23" xfId="0" applyFont="1" applyFill="1" applyBorder="1" applyProtection="1">
      <protection locked="0"/>
    </xf>
    <xf numFmtId="166" fontId="17" fillId="3" borderId="24" xfId="8" applyNumberFormat="1" applyFont="1" applyFill="1" applyBorder="1" applyProtection="1">
      <protection locked="0"/>
    </xf>
    <xf numFmtId="166" fontId="17" fillId="3" borderId="25" xfId="8" applyNumberFormat="1" applyFont="1" applyFill="1" applyBorder="1" applyProtection="1">
      <protection locked="0"/>
    </xf>
    <xf numFmtId="164" fontId="16" fillId="3" borderId="0" xfId="0" applyNumberFormat="1" applyFont="1" applyFill="1" applyProtection="1">
      <protection locked="0"/>
    </xf>
    <xf numFmtId="164" fontId="16" fillId="3" borderId="0" xfId="8" applyFont="1" applyFill="1" applyProtection="1">
      <protection locked="0"/>
    </xf>
    <xf numFmtId="166" fontId="16" fillId="3" borderId="0" xfId="8" applyNumberFormat="1" applyFont="1" applyFill="1" applyProtection="1">
      <protection locked="0"/>
    </xf>
    <xf numFmtId="166" fontId="16" fillId="3" borderId="0" xfId="0" applyNumberFormat="1" applyFont="1" applyFill="1" applyProtection="1">
      <protection locked="0"/>
    </xf>
    <xf numFmtId="0" fontId="16" fillId="3" borderId="1" xfId="0" applyFont="1" applyFill="1" applyBorder="1" applyProtection="1">
      <protection locked="0"/>
    </xf>
    <xf numFmtId="0" fontId="16" fillId="3" borderId="10" xfId="0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172" fontId="16" fillId="3" borderId="12" xfId="0" applyNumberFormat="1" applyFont="1" applyFill="1" applyBorder="1" applyAlignment="1" applyProtection="1">
      <alignment horizontal="left"/>
      <protection locked="0"/>
    </xf>
    <xf numFmtId="173" fontId="16" fillId="3" borderId="12" xfId="0" applyNumberFormat="1" applyFont="1" applyFill="1" applyBorder="1" applyAlignment="1" applyProtection="1">
      <alignment horizontal="right" vertical="center"/>
      <protection locked="0"/>
    </xf>
    <xf numFmtId="0" fontId="16" fillId="3" borderId="14" xfId="0" applyFont="1" applyFill="1" applyBorder="1" applyProtection="1">
      <protection locked="0"/>
    </xf>
    <xf numFmtId="172" fontId="16" fillId="3" borderId="6" xfId="0" applyNumberFormat="1" applyFont="1" applyFill="1" applyBorder="1" applyAlignment="1" applyProtection="1">
      <alignment horizontal="fill"/>
      <protection locked="0"/>
    </xf>
    <xf numFmtId="10" fontId="16" fillId="3" borderId="6" xfId="0" applyNumberFormat="1" applyFont="1" applyFill="1" applyBorder="1" applyProtection="1">
      <protection locked="0"/>
    </xf>
    <xf numFmtId="166" fontId="16" fillId="3" borderId="13" xfId="8" applyNumberFormat="1" applyFont="1" applyFill="1" applyBorder="1" applyAlignment="1" applyProtection="1">
      <alignment horizontal="fill"/>
      <protection locked="0"/>
    </xf>
    <xf numFmtId="166" fontId="16" fillId="3" borderId="3" xfId="8" applyNumberFormat="1" applyFont="1" applyFill="1" applyBorder="1" applyAlignment="1" applyProtection="1">
      <alignment horizontal="fill"/>
      <protection locked="0"/>
    </xf>
    <xf numFmtId="166" fontId="16" fillId="3" borderId="18" xfId="8" applyNumberFormat="1" applyFont="1" applyFill="1" applyBorder="1" applyAlignment="1" applyProtection="1">
      <alignment horizontal="fill"/>
      <protection locked="0"/>
    </xf>
    <xf numFmtId="166" fontId="16" fillId="3" borderId="18" xfId="8" applyNumberFormat="1" applyFont="1" applyFill="1" applyBorder="1" applyProtection="1">
      <protection locked="0"/>
    </xf>
    <xf numFmtId="166" fontId="17" fillId="3" borderId="18" xfId="8" applyNumberFormat="1" applyFont="1" applyFill="1" applyBorder="1" applyProtection="1">
      <protection locked="0"/>
    </xf>
    <xf numFmtId="166" fontId="17" fillId="3" borderId="26" xfId="8" applyNumberFormat="1" applyFont="1" applyFill="1" applyBorder="1" applyProtection="1">
      <protection locked="0"/>
    </xf>
    <xf numFmtId="164" fontId="17" fillId="3" borderId="27" xfId="8" applyFont="1" applyFill="1" applyBorder="1" applyProtection="1">
      <protection locked="0"/>
    </xf>
    <xf numFmtId="164" fontId="16" fillId="3" borderId="0" xfId="8" applyFont="1" applyFill="1" applyAlignment="1" applyProtection="1">
      <alignment horizontal="fill"/>
      <protection locked="0"/>
    </xf>
    <xf numFmtId="164" fontId="17" fillId="3" borderId="12" xfId="8" applyFont="1" applyFill="1" applyBorder="1" applyProtection="1">
      <protection locked="0"/>
    </xf>
    <xf numFmtId="164" fontId="17" fillId="3" borderId="28" xfId="8" applyFont="1" applyFill="1" applyBorder="1" applyProtection="1">
      <protection locked="0"/>
    </xf>
    <xf numFmtId="2" fontId="16" fillId="3" borderId="4" xfId="0" applyNumberFormat="1" applyFont="1" applyFill="1" applyBorder="1" applyAlignment="1" applyProtection="1">
      <alignment horizontal="left"/>
      <protection locked="0"/>
    </xf>
    <xf numFmtId="9" fontId="17" fillId="3" borderId="9" xfId="0" applyNumberFormat="1" applyFont="1" applyFill="1" applyBorder="1" applyProtection="1">
      <protection locked="0"/>
    </xf>
    <xf numFmtId="172" fontId="16" fillId="3" borderId="9" xfId="0" applyNumberFormat="1" applyFont="1" applyFill="1" applyBorder="1" applyAlignment="1" applyProtection="1">
      <alignment horizontal="fill"/>
      <protection locked="0"/>
    </xf>
    <xf numFmtId="164" fontId="16" fillId="3" borderId="17" xfId="8" applyFont="1" applyFill="1" applyBorder="1" applyAlignment="1" applyProtection="1">
      <alignment horizontal="fill"/>
      <protection locked="0"/>
    </xf>
    <xf numFmtId="166" fontId="16" fillId="3" borderId="4" xfId="8" applyNumberFormat="1" applyFont="1" applyFill="1" applyBorder="1" applyAlignment="1" applyProtection="1">
      <alignment horizontal="fill"/>
      <protection locked="0"/>
    </xf>
    <xf numFmtId="2" fontId="16" fillId="3" borderId="4" xfId="0" applyNumberFormat="1" applyFont="1" applyFill="1" applyBorder="1" applyAlignment="1" applyProtection="1">
      <alignment horizontal="fill"/>
      <protection locked="0"/>
    </xf>
    <xf numFmtId="0" fontId="16" fillId="3" borderId="18" xfId="8" applyNumberFormat="1" applyFont="1" applyFill="1" applyBorder="1" applyProtection="1">
      <protection locked="0"/>
    </xf>
    <xf numFmtId="166" fontId="16" fillId="3" borderId="29" xfId="8" applyNumberFormat="1" applyFont="1" applyFill="1" applyBorder="1" applyAlignment="1" applyProtection="1">
      <alignment horizontal="fill"/>
      <protection locked="0"/>
    </xf>
    <xf numFmtId="37" fontId="17" fillId="3" borderId="18" xfId="0" applyNumberFormat="1" applyFont="1" applyFill="1" applyBorder="1" applyProtection="1">
      <protection locked="0"/>
    </xf>
    <xf numFmtId="38" fontId="16" fillId="3" borderId="18" xfId="0" applyNumberFormat="1" applyFont="1" applyFill="1" applyBorder="1" applyProtection="1">
      <protection locked="0"/>
    </xf>
    <xf numFmtId="38" fontId="16" fillId="3" borderId="18" xfId="8" applyNumberFormat="1" applyFont="1" applyFill="1" applyBorder="1" applyAlignment="1" applyProtection="1">
      <alignment horizontal="fill"/>
      <protection locked="0"/>
    </xf>
    <xf numFmtId="0" fontId="2" fillId="3" borderId="0" xfId="0" applyFont="1" applyFill="1" applyProtection="1">
      <protection locked="0"/>
    </xf>
    <xf numFmtId="0" fontId="5" fillId="3" borderId="0" xfId="0" applyFont="1" applyFill="1" applyAlignment="1">
      <alignment horizontal="center"/>
    </xf>
    <xf numFmtId="0" fontId="3" fillId="3" borderId="42" xfId="0" applyFont="1" applyFill="1" applyBorder="1"/>
    <xf numFmtId="10" fontId="3" fillId="3" borderId="42" xfId="0" applyNumberFormat="1" applyFont="1" applyFill="1" applyBorder="1"/>
    <xf numFmtId="0" fontId="4" fillId="3" borderId="42" xfId="0" applyFont="1" applyFill="1" applyBorder="1" applyAlignment="1">
      <alignment horizontal="center"/>
    </xf>
    <xf numFmtId="0" fontId="5" fillId="3" borderId="42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42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Continuous"/>
    </xf>
    <xf numFmtId="0" fontId="3" fillId="3" borderId="32" xfId="0" applyFont="1" applyFill="1" applyBorder="1" applyAlignment="1">
      <alignment horizontal="centerContinuous"/>
    </xf>
    <xf numFmtId="0" fontId="3" fillId="3" borderId="47" xfId="0" applyFont="1" applyFill="1" applyBorder="1" applyAlignment="1">
      <alignment horizontal="centerContinuous"/>
    </xf>
    <xf numFmtId="0" fontId="3" fillId="3" borderId="9" xfId="0" applyFont="1" applyFill="1" applyBorder="1"/>
    <xf numFmtId="0" fontId="3" fillId="3" borderId="35" xfId="0" applyFont="1" applyFill="1" applyBorder="1"/>
    <xf numFmtId="0" fontId="3" fillId="3" borderId="0" xfId="0" applyFont="1" applyFill="1" applyAlignment="1">
      <alignment horizontal="left"/>
    </xf>
    <xf numFmtId="0" fontId="3" fillId="3" borderId="48" xfId="0" applyFont="1" applyFill="1" applyBorder="1"/>
    <xf numFmtId="0" fontId="3" fillId="3" borderId="46" xfId="0" applyFont="1" applyFill="1" applyBorder="1" applyAlignment="1">
      <alignment horizontal="centerContinuous" vertical="center"/>
    </xf>
    <xf numFmtId="0" fontId="3" fillId="3" borderId="47" xfId="0" applyFont="1" applyFill="1" applyBorder="1" applyAlignment="1">
      <alignment horizontal="centerContinuous" vertical="center"/>
    </xf>
    <xf numFmtId="0" fontId="3" fillId="3" borderId="49" xfId="0" applyFont="1" applyFill="1" applyBorder="1" applyAlignment="1">
      <alignment horizontal="center"/>
    </xf>
    <xf numFmtId="0" fontId="3" fillId="3" borderId="33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35" xfId="0" applyFont="1" applyFill="1" applyBorder="1" applyAlignment="1">
      <alignment horizontal="center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3" fillId="3" borderId="21" xfId="0" applyFont="1" applyFill="1" applyBorder="1"/>
    <xf numFmtId="0" fontId="3" fillId="3" borderId="0" xfId="0" quotePrefix="1" applyFont="1" applyFill="1"/>
    <xf numFmtId="0" fontId="3" fillId="3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0" fontId="5" fillId="3" borderId="0" xfId="0" applyFont="1" applyFill="1" applyAlignment="1" applyProtection="1">
      <alignment horizontal="center"/>
      <protection locked="0"/>
    </xf>
    <xf numFmtId="0" fontId="3" fillId="3" borderId="9" xfId="0" applyFont="1" applyFill="1" applyBorder="1" applyProtection="1">
      <protection locked="0"/>
    </xf>
    <xf numFmtId="0" fontId="3" fillId="3" borderId="0" xfId="0" applyFont="1" applyFill="1" applyAlignment="1" applyProtection="1">
      <alignment horizontal="left"/>
      <protection locked="0"/>
    </xf>
    <xf numFmtId="165" fontId="3" fillId="3" borderId="0" xfId="0" applyNumberFormat="1" applyFont="1" applyFill="1" applyProtection="1">
      <protection locked="0"/>
    </xf>
    <xf numFmtId="167" fontId="5" fillId="3" borderId="32" xfId="0" applyNumberFormat="1" applyFont="1" applyFill="1" applyBorder="1" applyAlignment="1" applyProtection="1">
      <alignment horizontal="center"/>
      <protection locked="0"/>
    </xf>
    <xf numFmtId="0" fontId="5" fillId="3" borderId="0" xfId="0" applyFont="1" applyFill="1" applyAlignment="1" applyProtection="1">
      <alignment horizontal="left"/>
      <protection locked="0"/>
    </xf>
    <xf numFmtId="0" fontId="3" fillId="3" borderId="50" xfId="0" applyFont="1" applyFill="1" applyBorder="1" applyProtection="1">
      <protection locked="0"/>
    </xf>
    <xf numFmtId="0" fontId="3" fillId="3" borderId="0" xfId="0" applyFont="1" applyFill="1" applyAlignment="1" applyProtection="1">
      <alignment wrapText="1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 wrapText="1"/>
      <protection locked="0"/>
    </xf>
    <xf numFmtId="0" fontId="3" fillId="3" borderId="50" xfId="0" applyFont="1" applyFill="1" applyBorder="1" applyAlignment="1" applyProtection="1">
      <alignment horizontal="left" vertical="center"/>
      <protection locked="0"/>
    </xf>
    <xf numFmtId="0" fontId="5" fillId="3" borderId="50" xfId="0" applyFont="1" applyFill="1" applyBorder="1" applyAlignment="1" applyProtection="1">
      <alignment horizontal="center" vertical="center"/>
      <protection locked="0"/>
    </xf>
    <xf numFmtId="0" fontId="3" fillId="3" borderId="5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/>
      <protection locked="0"/>
    </xf>
    <xf numFmtId="0" fontId="4" fillId="3" borderId="0" xfId="0" applyFont="1" applyFill="1" applyProtection="1"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Alignment="1" applyProtection="1">
      <alignment horizontal="left" vertical="center" wrapText="1"/>
      <protection locked="0"/>
    </xf>
    <xf numFmtId="0" fontId="10" fillId="3" borderId="0" xfId="0" applyFont="1" applyFill="1" applyProtection="1">
      <protection locked="0"/>
    </xf>
    <xf numFmtId="0" fontId="9" fillId="3" borderId="0" xfId="0" applyFont="1" applyFill="1" applyAlignment="1" applyProtection="1">
      <alignment horizont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 applyProtection="1">
      <alignment wrapText="1"/>
      <protection locked="0"/>
    </xf>
    <xf numFmtId="0" fontId="12" fillId="3" borderId="0" xfId="0" applyFont="1" applyFill="1" applyProtection="1">
      <protection locked="0"/>
    </xf>
    <xf numFmtId="0" fontId="5" fillId="3" borderId="0" xfId="0" applyFont="1" applyFill="1" applyAlignment="1" applyProtection="1">
      <alignment horizontal="right"/>
      <protection locked="0"/>
    </xf>
    <xf numFmtId="0" fontId="3" fillId="3" borderId="0" xfId="0" applyFont="1" applyFill="1" applyAlignment="1" applyProtection="1">
      <alignment horizontal="right"/>
      <protection locked="0"/>
    </xf>
    <xf numFmtId="0" fontId="10" fillId="3" borderId="50" xfId="0" applyFont="1" applyFill="1" applyBorder="1"/>
    <xf numFmtId="0" fontId="9" fillId="3" borderId="50" xfId="0" applyFont="1" applyFill="1" applyBorder="1"/>
    <xf numFmtId="38" fontId="10" fillId="3" borderId="31" xfId="8" applyNumberFormat="1" applyFont="1" applyFill="1" applyBorder="1" applyAlignment="1">
      <alignment horizontal="center" vertical="center"/>
    </xf>
    <xf numFmtId="0" fontId="3" fillId="3" borderId="50" xfId="0" applyFont="1" applyFill="1" applyBorder="1"/>
    <xf numFmtId="40" fontId="5" fillId="3" borderId="31" xfId="0" applyNumberFormat="1" applyFont="1" applyFill="1" applyBorder="1" applyAlignment="1">
      <alignment horizontal="center" vertical="center"/>
    </xf>
    <xf numFmtId="39" fontId="5" fillId="3" borderId="31" xfId="8" applyNumberFormat="1" applyFont="1" applyFill="1" applyBorder="1" applyAlignment="1">
      <alignment horizontal="center" vertical="center"/>
    </xf>
    <xf numFmtId="40" fontId="5" fillId="3" borderId="31" xfId="0" applyNumberFormat="1" applyFont="1" applyFill="1" applyBorder="1" applyAlignment="1">
      <alignment horizontal="center"/>
    </xf>
    <xf numFmtId="40" fontId="5" fillId="3" borderId="0" xfId="0" applyNumberFormat="1" applyFont="1" applyFill="1" applyAlignment="1">
      <alignment horizontal="center"/>
    </xf>
    <xf numFmtId="0" fontId="3" fillId="3" borderId="31" xfId="0" applyFont="1" applyFill="1" applyBorder="1" applyAlignment="1">
      <alignment horizontal="center" vertical="center"/>
    </xf>
    <xf numFmtId="0" fontId="9" fillId="3" borderId="9" xfId="0" applyFont="1" applyFill="1" applyBorder="1"/>
    <xf numFmtId="0" fontId="9" fillId="3" borderId="0" xfId="0" applyFont="1" applyFill="1"/>
    <xf numFmtId="0" fontId="9" fillId="3" borderId="35" xfId="0" applyFont="1" applyFill="1" applyBorder="1"/>
    <xf numFmtId="0" fontId="9" fillId="3" borderId="35" xfId="0" applyFont="1" applyFill="1" applyBorder="1" applyAlignment="1">
      <alignment horizontal="center"/>
    </xf>
    <xf numFmtId="49" fontId="3" fillId="3" borderId="9" xfId="0" applyNumberFormat="1" applyFont="1" applyFill="1" applyBorder="1"/>
    <xf numFmtId="0" fontId="3" fillId="3" borderId="0" xfId="0" applyFont="1" applyFill="1" applyAlignment="1">
      <alignment vertical="center"/>
    </xf>
    <xf numFmtId="0" fontId="3" fillId="3" borderId="23" xfId="0" applyFont="1" applyFill="1" applyBorder="1"/>
    <xf numFmtId="0" fontId="5" fillId="3" borderId="50" xfId="0" applyFont="1" applyFill="1" applyBorder="1" applyAlignment="1">
      <alignment horizontal="left"/>
    </xf>
    <xf numFmtId="0" fontId="5" fillId="3" borderId="33" xfId="0" applyFont="1" applyFill="1" applyBorder="1" applyAlignment="1">
      <alignment horizontal="center"/>
    </xf>
    <xf numFmtId="0" fontId="5" fillId="3" borderId="50" xfId="0" applyFont="1" applyFill="1" applyBorder="1"/>
    <xf numFmtId="0" fontId="5" fillId="3" borderId="46" xfId="0" applyFont="1" applyFill="1" applyBorder="1"/>
    <xf numFmtId="0" fontId="5" fillId="3" borderId="32" xfId="0" applyFont="1" applyFill="1" applyBorder="1"/>
    <xf numFmtId="0" fontId="5" fillId="3" borderId="47" xfId="0" applyFont="1" applyFill="1" applyBorder="1" applyAlignment="1">
      <alignment horizontal="center"/>
    </xf>
    <xf numFmtId="0" fontId="3" fillId="3" borderId="42" xfId="0" applyFont="1" applyFill="1" applyBorder="1" applyAlignment="1">
      <alignment horizontal="center" wrapText="1"/>
    </xf>
    <xf numFmtId="0" fontId="3" fillId="3" borderId="47" xfId="0" applyFont="1" applyFill="1" applyBorder="1" applyAlignment="1">
      <alignment horizontal="center"/>
    </xf>
    <xf numFmtId="0" fontId="2" fillId="3" borderId="9" xfId="0" applyFont="1" applyFill="1" applyBorder="1"/>
    <xf numFmtId="0" fontId="2" fillId="3" borderId="0" xfId="0" applyFont="1" applyFill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13" xfId="0" applyFont="1" applyFill="1" applyBorder="1"/>
    <xf numFmtId="38" fontId="3" fillId="3" borderId="47" xfId="0" applyNumberFormat="1" applyFont="1" applyFill="1" applyBorder="1" applyAlignment="1">
      <alignment horizontal="center"/>
    </xf>
    <xf numFmtId="0" fontId="2" fillId="3" borderId="35" xfId="0" applyFont="1" applyFill="1" applyBorder="1" applyAlignment="1">
      <alignment horizontal="center"/>
    </xf>
    <xf numFmtId="0" fontId="5" fillId="3" borderId="29" xfId="0" applyFont="1" applyFill="1" applyBorder="1" applyAlignment="1">
      <alignment horizontal="center"/>
    </xf>
    <xf numFmtId="38" fontId="3" fillId="3" borderId="23" xfId="0" applyNumberFormat="1" applyFont="1" applyFill="1" applyBorder="1" applyAlignment="1">
      <alignment horizontal="center"/>
    </xf>
    <xf numFmtId="0" fontId="3" fillId="3" borderId="9" xfId="0" applyFont="1" applyFill="1" applyBorder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2" fillId="3" borderId="50" xfId="0" applyFont="1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0" fontId="2" fillId="3" borderId="21" xfId="0" applyFont="1" applyFill="1" applyBorder="1" applyAlignment="1">
      <alignment horizontal="center"/>
    </xf>
    <xf numFmtId="0" fontId="5" fillId="3" borderId="9" xfId="0" applyFont="1" applyFill="1" applyBorder="1"/>
    <xf numFmtId="0" fontId="4" fillId="3" borderId="46" xfId="0" applyFont="1" applyFill="1" applyBorder="1" applyAlignment="1">
      <alignment horizontal="center"/>
    </xf>
    <xf numFmtId="0" fontId="3" fillId="3" borderId="32" xfId="0" applyFont="1" applyFill="1" applyBorder="1"/>
    <xf numFmtId="0" fontId="3" fillId="3" borderId="47" xfId="0" applyFont="1" applyFill="1" applyBorder="1"/>
    <xf numFmtId="0" fontId="3" fillId="3" borderId="49" xfId="0" applyFont="1" applyFill="1" applyBorder="1"/>
    <xf numFmtId="0" fontId="3" fillId="3" borderId="33" xfId="0" applyFont="1" applyFill="1" applyBorder="1"/>
    <xf numFmtId="0" fontId="4" fillId="3" borderId="23" xfId="0" applyFont="1" applyFill="1" applyBorder="1" applyAlignment="1">
      <alignment horizontal="center"/>
    </xf>
    <xf numFmtId="0" fontId="2" fillId="3" borderId="50" xfId="0" applyFont="1" applyFill="1" applyBorder="1"/>
    <xf numFmtId="0" fontId="7" fillId="3" borderId="0" xfId="0" applyFont="1" applyFill="1"/>
    <xf numFmtId="0" fontId="2" fillId="3" borderId="35" xfId="0" applyFont="1" applyFill="1" applyBorder="1"/>
    <xf numFmtId="0" fontId="2" fillId="3" borderId="48" xfId="0" applyFont="1" applyFill="1" applyBorder="1" applyAlignment="1">
      <alignment horizontal="center"/>
    </xf>
    <xf numFmtId="0" fontId="15" fillId="3" borderId="48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15" fillId="3" borderId="29" xfId="0" applyFont="1" applyFill="1" applyBorder="1" applyAlignment="1">
      <alignment horizontal="center"/>
    </xf>
    <xf numFmtId="0" fontId="5" fillId="3" borderId="0" xfId="0" applyFont="1" applyFill="1" applyAlignment="1">
      <alignment horizontal="right"/>
    </xf>
    <xf numFmtId="0" fontId="2" fillId="3" borderId="9" xfId="0" applyFont="1" applyFill="1" applyBorder="1" applyAlignment="1">
      <alignment horizontal="left" vertical="top" wrapText="1"/>
    </xf>
    <xf numFmtId="0" fontId="5" fillId="3" borderId="50" xfId="0" applyFont="1" applyFill="1" applyBorder="1" applyAlignment="1">
      <alignment horizontal="right"/>
    </xf>
    <xf numFmtId="0" fontId="5" fillId="3" borderId="50" xfId="0" applyFont="1" applyFill="1" applyBorder="1" applyAlignment="1">
      <alignment horizontal="center"/>
    </xf>
    <xf numFmtId="0" fontId="2" fillId="3" borderId="42" xfId="0" applyFont="1" applyFill="1" applyBorder="1" applyProtection="1">
      <protection locked="0"/>
    </xf>
    <xf numFmtId="167" fontId="10" fillId="3" borderId="32" xfId="0" quotePrefix="1" applyNumberFormat="1" applyFont="1" applyFill="1" applyBorder="1" applyAlignment="1" applyProtection="1">
      <alignment horizontal="center" vertical="center"/>
      <protection locked="0"/>
    </xf>
    <xf numFmtId="0" fontId="2" fillId="0" borderId="42" xfId="0" applyFont="1" applyBorder="1" applyProtection="1">
      <protection locked="0"/>
    </xf>
    <xf numFmtId="168" fontId="5" fillId="3" borderId="32" xfId="0" applyNumberFormat="1" applyFont="1" applyFill="1" applyBorder="1" applyAlignment="1" applyProtection="1">
      <alignment horizontal="center"/>
      <protection locked="0"/>
    </xf>
    <xf numFmtId="0" fontId="2" fillId="0" borderId="47" xfId="0" applyFont="1" applyBorder="1" applyProtection="1">
      <protection locked="0"/>
    </xf>
    <xf numFmtId="167" fontId="5" fillId="3" borderId="32" xfId="0" applyNumberFormat="1" applyFont="1" applyFill="1" applyBorder="1" applyAlignment="1">
      <alignment horizontal="center"/>
    </xf>
    <xf numFmtId="0" fontId="2" fillId="3" borderId="42" xfId="0" applyFont="1" applyFill="1" applyBorder="1"/>
    <xf numFmtId="0" fontId="2" fillId="0" borderId="42" xfId="0" applyFont="1" applyBorder="1"/>
    <xf numFmtId="167" fontId="5" fillId="3" borderId="0" xfId="0" applyNumberFormat="1" applyFont="1" applyFill="1" applyAlignment="1">
      <alignment horizontal="center"/>
    </xf>
    <xf numFmtId="0" fontId="2" fillId="3" borderId="18" xfId="0" applyFont="1" applyFill="1" applyBorder="1"/>
    <xf numFmtId="38" fontId="5" fillId="3" borderId="9" xfId="0" applyNumberFormat="1" applyFont="1" applyFill="1" applyBorder="1"/>
    <xf numFmtId="38" fontId="5" fillId="3" borderId="0" xfId="0" applyNumberFormat="1" applyFont="1" applyFill="1"/>
    <xf numFmtId="3" fontId="2" fillId="5" borderId="30" xfId="0" applyNumberFormat="1" applyFont="1" applyFill="1" applyBorder="1" applyAlignment="1">
      <alignment horizontal="center"/>
    </xf>
    <xf numFmtId="3" fontId="2" fillId="5" borderId="5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left"/>
    </xf>
    <xf numFmtId="38" fontId="5" fillId="5" borderId="30" xfId="0" applyNumberFormat="1" applyFont="1" applyFill="1" applyBorder="1" applyAlignment="1">
      <alignment horizontal="center"/>
    </xf>
    <xf numFmtId="38" fontId="2" fillId="3" borderId="9" xfId="0" quotePrefix="1" applyNumberFormat="1" applyFont="1" applyFill="1" applyBorder="1"/>
    <xf numFmtId="38" fontId="2" fillId="3" borderId="0" xfId="0" applyNumberFormat="1" applyFont="1" applyFill="1"/>
    <xf numFmtId="38" fontId="2" fillId="5" borderId="30" xfId="0" applyNumberFormat="1" applyFont="1" applyFill="1" applyBorder="1" applyAlignment="1">
      <alignment horizontal="right"/>
    </xf>
    <xf numFmtId="38" fontId="2" fillId="5" borderId="52" xfId="0" applyNumberFormat="1" applyFont="1" applyFill="1" applyBorder="1" applyAlignment="1">
      <alignment horizontal="right"/>
    </xf>
    <xf numFmtId="0" fontId="2" fillId="3" borderId="0" xfId="0" quotePrefix="1" applyFont="1" applyFill="1"/>
    <xf numFmtId="0" fontId="2" fillId="3" borderId="0" xfId="0" applyFont="1" applyFill="1" applyAlignment="1">
      <alignment horizontal="left"/>
    </xf>
    <xf numFmtId="38" fontId="5" fillId="3" borderId="0" xfId="0" applyNumberFormat="1" applyFont="1" applyFill="1" applyAlignment="1">
      <alignment horizontal="center"/>
    </xf>
    <xf numFmtId="40" fontId="2" fillId="3" borderId="0" xfId="0" applyNumberFormat="1" applyFont="1" applyFill="1" applyAlignment="1">
      <alignment horizontal="left"/>
    </xf>
    <xf numFmtId="3" fontId="2" fillId="5" borderId="30" xfId="0" applyNumberFormat="1" applyFont="1" applyFill="1" applyBorder="1" applyAlignment="1">
      <alignment horizontal="right"/>
    </xf>
    <xf numFmtId="3" fontId="2" fillId="5" borderId="52" xfId="0" applyNumberFormat="1" applyFont="1" applyFill="1" applyBorder="1" applyAlignment="1">
      <alignment horizontal="right"/>
    </xf>
    <xf numFmtId="3" fontId="5" fillId="3" borderId="0" xfId="0" applyNumberFormat="1" applyFont="1" applyFill="1" applyAlignment="1">
      <alignment horizontal="right"/>
    </xf>
    <xf numFmtId="40" fontId="5" fillId="3" borderId="0" xfId="0" applyNumberFormat="1" applyFont="1" applyFill="1" applyAlignment="1">
      <alignment horizontal="left"/>
    </xf>
    <xf numFmtId="38" fontId="5" fillId="3" borderId="0" xfId="0" applyNumberFormat="1" applyFont="1" applyFill="1" applyAlignment="1">
      <alignment horizontal="right"/>
    </xf>
    <xf numFmtId="170" fontId="5" fillId="3" borderId="0" xfId="0" applyNumberFormat="1" applyFont="1" applyFill="1" applyAlignment="1">
      <alignment horizontal="center"/>
    </xf>
    <xf numFmtId="0" fontId="2" fillId="3" borderId="32" xfId="0" applyFont="1" applyFill="1" applyBorder="1"/>
    <xf numFmtId="0" fontId="5" fillId="3" borderId="32" xfId="0" applyFont="1" applyFill="1" applyBorder="1" applyAlignment="1">
      <alignment horizontal="center"/>
    </xf>
    <xf numFmtId="0" fontId="2" fillId="3" borderId="47" xfId="0" applyFont="1" applyFill="1" applyBorder="1"/>
    <xf numFmtId="38" fontId="2" fillId="5" borderId="52" xfId="0" applyNumberFormat="1" applyFont="1" applyFill="1" applyBorder="1" applyAlignment="1">
      <alignment horizontal="center"/>
    </xf>
    <xf numFmtId="38" fontId="2" fillId="5" borderId="30" xfId="0" applyNumberFormat="1" applyFont="1" applyFill="1" applyBorder="1" applyAlignment="1">
      <alignment horizontal="center"/>
    </xf>
    <xf numFmtId="2" fontId="5" fillId="3" borderId="0" xfId="0" applyNumberFormat="1" applyFont="1" applyFill="1" applyAlignment="1">
      <alignment horizontal="center"/>
    </xf>
    <xf numFmtId="38" fontId="2" fillId="3" borderId="0" xfId="0" applyNumberFormat="1" applyFont="1" applyFill="1" applyAlignment="1">
      <alignment horizontal="center"/>
    </xf>
    <xf numFmtId="38" fontId="2" fillId="3" borderId="0" xfId="0" quotePrefix="1" applyNumberFormat="1" applyFont="1" applyFill="1"/>
    <xf numFmtId="0" fontId="2" fillId="3" borderId="22" xfId="0" applyFont="1" applyFill="1" applyBorder="1"/>
    <xf numFmtId="0" fontId="2" fillId="3" borderId="21" xfId="0" applyFont="1" applyFill="1" applyBorder="1"/>
    <xf numFmtId="0" fontId="2" fillId="3" borderId="29" xfId="0" applyFont="1" applyFill="1" applyBorder="1"/>
    <xf numFmtId="0" fontId="5" fillId="3" borderId="21" xfId="0" applyFont="1" applyFill="1" applyBorder="1" applyAlignment="1">
      <alignment horizontal="center"/>
    </xf>
    <xf numFmtId="0" fontId="2" fillId="3" borderId="23" xfId="0" applyFont="1" applyFill="1" applyBorder="1"/>
    <xf numFmtId="166" fontId="2" fillId="3" borderId="0" xfId="8" applyNumberFormat="1" applyFont="1" applyFill="1"/>
    <xf numFmtId="164" fontId="2" fillId="3" borderId="0" xfId="0" applyNumberFormat="1" applyFont="1" applyFill="1"/>
    <xf numFmtId="164" fontId="2" fillId="3" borderId="0" xfId="8" applyFont="1" applyFill="1"/>
    <xf numFmtId="172" fontId="17" fillId="3" borderId="0" xfId="0" applyNumberFormat="1" applyFont="1" applyFill="1" applyAlignment="1">
      <alignment horizontal="left"/>
    </xf>
    <xf numFmtId="0" fontId="17" fillId="3" borderId="0" xfId="0" applyFont="1" applyFill="1"/>
    <xf numFmtId="0" fontId="16" fillId="3" borderId="0" xfId="0" applyFont="1" applyFill="1"/>
    <xf numFmtId="172" fontId="16" fillId="3" borderId="0" xfId="0" applyNumberFormat="1" applyFont="1" applyFill="1" applyAlignment="1">
      <alignment horizontal="left"/>
    </xf>
    <xf numFmtId="9" fontId="16" fillId="3" borderId="0" xfId="0" applyNumberFormat="1" applyFont="1" applyFill="1"/>
    <xf numFmtId="166" fontId="16" fillId="3" borderId="18" xfId="8" applyNumberFormat="1" applyFont="1" applyFill="1" applyBorder="1"/>
    <xf numFmtId="9" fontId="16" fillId="3" borderId="18" xfId="0" applyNumberFormat="1" applyFont="1" applyFill="1" applyBorder="1"/>
    <xf numFmtId="9" fontId="16" fillId="3" borderId="35" xfId="0" applyNumberFormat="1" applyFont="1" applyFill="1" applyBorder="1"/>
    <xf numFmtId="172" fontId="16" fillId="3" borderId="0" xfId="0" applyNumberFormat="1" applyFont="1" applyFill="1" applyAlignment="1">
      <alignment horizontal="fill"/>
    </xf>
    <xf numFmtId="166" fontId="16" fillId="3" borderId="18" xfId="8" applyNumberFormat="1" applyFont="1" applyFill="1" applyBorder="1" applyAlignment="1">
      <alignment horizontal="fill"/>
    </xf>
    <xf numFmtId="172" fontId="16" fillId="3" borderId="18" xfId="0" applyNumberFormat="1" applyFont="1" applyFill="1" applyBorder="1" applyAlignment="1">
      <alignment horizontal="fill"/>
    </xf>
    <xf numFmtId="172" fontId="16" fillId="3" borderId="35" xfId="0" applyNumberFormat="1" applyFont="1" applyFill="1" applyBorder="1" applyAlignment="1">
      <alignment horizontal="fill"/>
    </xf>
    <xf numFmtId="172" fontId="17" fillId="3" borderId="27" xfId="0" applyNumberFormat="1" applyFont="1" applyFill="1" applyBorder="1" applyAlignment="1">
      <alignment horizontal="left"/>
    </xf>
    <xf numFmtId="166" fontId="17" fillId="3" borderId="24" xfId="8" applyNumberFormat="1" applyFont="1" applyFill="1" applyBorder="1"/>
    <xf numFmtId="164" fontId="17" fillId="3" borderId="27" xfId="8" applyFont="1" applyFill="1" applyBorder="1"/>
    <xf numFmtId="164" fontId="17" fillId="3" borderId="24" xfId="8" applyFont="1" applyFill="1" applyBorder="1"/>
    <xf numFmtId="9" fontId="16" fillId="3" borderId="53" xfId="0" applyNumberFormat="1" applyFont="1" applyFill="1" applyBorder="1"/>
    <xf numFmtId="164" fontId="16" fillId="3" borderId="0" xfId="8" applyFont="1" applyFill="1" applyAlignment="1">
      <alignment horizontal="fill"/>
    </xf>
    <xf numFmtId="164" fontId="16" fillId="3" borderId="18" xfId="8" applyFont="1" applyFill="1" applyBorder="1" applyAlignment="1">
      <alignment horizontal="fill"/>
    </xf>
    <xf numFmtId="164" fontId="16" fillId="3" borderId="0" xfId="8" applyFont="1" applyFill="1"/>
    <xf numFmtId="9" fontId="16" fillId="3" borderId="18" xfId="5" applyFont="1" applyFill="1" applyBorder="1"/>
    <xf numFmtId="0" fontId="16" fillId="3" borderId="0" xfId="0" quotePrefix="1" applyFont="1" applyFill="1"/>
    <xf numFmtId="164" fontId="17" fillId="3" borderId="0" xfId="8" applyFont="1" applyFill="1"/>
    <xf numFmtId="166" fontId="17" fillId="3" borderId="18" xfId="8" applyNumberFormat="1" applyFont="1" applyFill="1" applyBorder="1"/>
    <xf numFmtId="9" fontId="17" fillId="3" borderId="35" xfId="0" applyNumberFormat="1" applyFont="1" applyFill="1" applyBorder="1"/>
    <xf numFmtId="164" fontId="17" fillId="3" borderId="18" xfId="8" applyFont="1" applyFill="1" applyBorder="1"/>
    <xf numFmtId="164" fontId="16" fillId="3" borderId="18" xfId="8" applyFont="1" applyFill="1" applyBorder="1"/>
    <xf numFmtId="9" fontId="17" fillId="3" borderId="24" xfId="5" applyFont="1" applyFill="1" applyBorder="1"/>
    <xf numFmtId="9" fontId="17" fillId="3" borderId="53" xfId="0" applyNumberFormat="1" applyFont="1" applyFill="1" applyBorder="1"/>
    <xf numFmtId="172" fontId="17" fillId="3" borderId="12" xfId="0" applyNumberFormat="1" applyFont="1" applyFill="1" applyBorder="1" applyAlignment="1">
      <alignment horizontal="left"/>
    </xf>
    <xf numFmtId="166" fontId="17" fillId="3" borderId="26" xfId="8" applyNumberFormat="1" applyFont="1" applyFill="1" applyBorder="1"/>
    <xf numFmtId="164" fontId="17" fillId="3" borderId="12" xfId="8" applyFont="1" applyFill="1" applyBorder="1"/>
    <xf numFmtId="9" fontId="17" fillId="3" borderId="26" xfId="5" applyFont="1" applyFill="1" applyBorder="1"/>
    <xf numFmtId="9" fontId="17" fillId="3" borderId="54" xfId="0" applyNumberFormat="1" applyFont="1" applyFill="1" applyBorder="1"/>
    <xf numFmtId="9" fontId="16" fillId="3" borderId="11" xfId="0" applyNumberFormat="1" applyFont="1" applyFill="1" applyBorder="1"/>
    <xf numFmtId="9" fontId="16" fillId="3" borderId="0" xfId="5" applyFont="1" applyFill="1"/>
    <xf numFmtId="9" fontId="17" fillId="3" borderId="0" xfId="5" applyFont="1" applyFill="1"/>
    <xf numFmtId="9" fontId="17" fillId="3" borderId="11" xfId="0" applyNumberFormat="1" applyFont="1" applyFill="1" applyBorder="1"/>
    <xf numFmtId="9" fontId="16" fillId="3" borderId="0" xfId="5" applyFont="1" applyFill="1" applyAlignment="1">
      <alignment horizontal="fill"/>
    </xf>
    <xf numFmtId="172" fontId="16" fillId="3" borderId="11" xfId="0" applyNumberFormat="1" applyFont="1" applyFill="1" applyBorder="1" applyAlignment="1">
      <alignment horizontal="fill"/>
    </xf>
    <xf numFmtId="9" fontId="17" fillId="3" borderId="27" xfId="5" applyFont="1" applyFill="1" applyBorder="1"/>
    <xf numFmtId="9" fontId="17" fillId="3" borderId="55" xfId="0" applyNumberFormat="1" applyFont="1" applyFill="1" applyBorder="1"/>
    <xf numFmtId="172" fontId="17" fillId="3" borderId="28" xfId="0" applyNumberFormat="1" applyFont="1" applyFill="1" applyBorder="1" applyAlignment="1">
      <alignment horizontal="left"/>
    </xf>
    <xf numFmtId="166" fontId="17" fillId="3" borderId="25" xfId="8" applyNumberFormat="1" applyFont="1" applyFill="1" applyBorder="1"/>
    <xf numFmtId="9" fontId="17" fillId="3" borderId="28" xfId="5" applyFont="1" applyFill="1" applyBorder="1"/>
    <xf numFmtId="9" fontId="17" fillId="3" borderId="39" xfId="0" applyNumberFormat="1" applyFont="1" applyFill="1" applyBorder="1"/>
    <xf numFmtId="9" fontId="17" fillId="3" borderId="9" xfId="5" applyFont="1" applyFill="1" applyBorder="1"/>
    <xf numFmtId="37" fontId="17" fillId="3" borderId="56" xfId="0" applyNumberFormat="1" applyFont="1" applyFill="1" applyBorder="1"/>
    <xf numFmtId="9" fontId="16" fillId="3" borderId="9" xfId="5" applyFont="1" applyFill="1" applyBorder="1"/>
    <xf numFmtId="9" fontId="16" fillId="3" borderId="56" xfId="5" applyFont="1" applyFill="1" applyBorder="1"/>
    <xf numFmtId="9" fontId="16" fillId="3" borderId="9" xfId="5" applyFont="1" applyFill="1" applyBorder="1" applyAlignment="1">
      <alignment horizontal="fill"/>
    </xf>
    <xf numFmtId="9" fontId="16" fillId="3" borderId="56" xfId="5" applyFont="1" applyFill="1" applyBorder="1" applyAlignment="1">
      <alignment horizontal="fill"/>
    </xf>
    <xf numFmtId="49" fontId="17" fillId="3" borderId="27" xfId="0" applyNumberFormat="1" applyFont="1" applyFill="1" applyBorder="1" applyAlignment="1">
      <alignment horizontal="left"/>
    </xf>
    <xf numFmtId="164" fontId="17" fillId="3" borderId="17" xfId="8" applyFont="1" applyFill="1" applyBorder="1"/>
    <xf numFmtId="9" fontId="17" fillId="3" borderId="17" xfId="5" applyFont="1" applyFill="1" applyBorder="1"/>
    <xf numFmtId="9" fontId="17" fillId="3" borderId="57" xfId="5" applyFont="1" applyFill="1" applyBorder="1"/>
    <xf numFmtId="164" fontId="16" fillId="3" borderId="9" xfId="8" applyFont="1" applyFill="1" applyBorder="1" applyAlignment="1">
      <alignment horizontal="fill"/>
    </xf>
    <xf numFmtId="164" fontId="17" fillId="3" borderId="9" xfId="8" applyFont="1" applyFill="1" applyBorder="1"/>
    <xf numFmtId="164" fontId="16" fillId="3" borderId="9" xfId="8" applyFont="1" applyFill="1" applyBorder="1"/>
    <xf numFmtId="9" fontId="17" fillId="3" borderId="56" xfId="5" applyFont="1" applyFill="1" applyBorder="1"/>
    <xf numFmtId="9" fontId="16" fillId="3" borderId="17" xfId="5" applyFont="1" applyFill="1" applyBorder="1"/>
    <xf numFmtId="9" fontId="16" fillId="3" borderId="57" xfId="5" applyFont="1" applyFill="1" applyBorder="1" applyAlignment="1">
      <alignment horizontal="fill"/>
    </xf>
    <xf numFmtId="164" fontId="17" fillId="3" borderId="20" xfId="8" applyFont="1" applyFill="1" applyBorder="1"/>
    <xf numFmtId="9" fontId="17" fillId="3" borderId="20" xfId="5" applyFont="1" applyFill="1" applyBorder="1"/>
    <xf numFmtId="9" fontId="17" fillId="3" borderId="45" xfId="5" applyFont="1" applyFill="1" applyBorder="1"/>
    <xf numFmtId="0" fontId="16" fillId="3" borderId="11" xfId="0" applyFont="1" applyFill="1" applyBorder="1"/>
    <xf numFmtId="172" fontId="16" fillId="3" borderId="0" xfId="0" quotePrefix="1" applyNumberFormat="1" applyFont="1" applyFill="1" applyAlignment="1">
      <alignment horizontal="left"/>
    </xf>
    <xf numFmtId="9" fontId="17" fillId="3" borderId="12" xfId="5" applyFont="1" applyFill="1" applyBorder="1"/>
    <xf numFmtId="166" fontId="16" fillId="3" borderId="58" xfId="8" applyNumberFormat="1" applyFont="1" applyFill="1" applyBorder="1"/>
    <xf numFmtId="166" fontId="16" fillId="3" borderId="35" xfId="8" applyNumberFormat="1" applyFont="1" applyFill="1" applyBorder="1"/>
    <xf numFmtId="166" fontId="17" fillId="3" borderId="58" xfId="8" applyNumberFormat="1" applyFont="1" applyFill="1" applyBorder="1"/>
    <xf numFmtId="166" fontId="17" fillId="3" borderId="35" xfId="8" applyNumberFormat="1" applyFont="1" applyFill="1" applyBorder="1"/>
    <xf numFmtId="166" fontId="16" fillId="3" borderId="58" xfId="8" applyNumberFormat="1" applyFont="1" applyFill="1" applyBorder="1" applyAlignment="1">
      <alignment horizontal="fill"/>
    </xf>
    <xf numFmtId="166" fontId="16" fillId="3" borderId="35" xfId="8" applyNumberFormat="1" applyFont="1" applyFill="1" applyBorder="1" applyAlignment="1">
      <alignment horizontal="fill"/>
    </xf>
    <xf numFmtId="166" fontId="17" fillId="3" borderId="59" xfId="8" applyNumberFormat="1" applyFont="1" applyFill="1" applyBorder="1"/>
    <xf numFmtId="166" fontId="17" fillId="3" borderId="53" xfId="8" applyNumberFormat="1" applyFont="1" applyFill="1" applyBorder="1"/>
    <xf numFmtId="166" fontId="17" fillId="3" borderId="44" xfId="8" applyNumberFormat="1" applyFont="1" applyFill="1" applyBorder="1"/>
    <xf numFmtId="164" fontId="17" fillId="3" borderId="25" xfId="8" applyFont="1" applyFill="1" applyBorder="1"/>
    <xf numFmtId="166" fontId="17" fillId="3" borderId="38" xfId="8" applyNumberFormat="1" applyFont="1" applyFill="1" applyBorder="1"/>
    <xf numFmtId="9" fontId="16" fillId="3" borderId="11" xfId="0" applyNumberFormat="1" applyFont="1" applyFill="1" applyBorder="1" applyAlignment="1">
      <alignment horizontal="fill"/>
    </xf>
    <xf numFmtId="2" fontId="16" fillId="3" borderId="0" xfId="0" applyNumberFormat="1" applyFont="1" applyFill="1"/>
    <xf numFmtId="37" fontId="16" fillId="3" borderId="0" xfId="0" applyNumberFormat="1" applyFont="1" applyFill="1"/>
    <xf numFmtId="10" fontId="16" fillId="3" borderId="0" xfId="0" applyNumberFormat="1" applyFont="1" applyFill="1"/>
    <xf numFmtId="2" fontId="16" fillId="3" borderId="0" xfId="0" applyNumberFormat="1" applyFont="1" applyFill="1" applyAlignment="1">
      <alignment horizontal="fill"/>
    </xf>
    <xf numFmtId="39" fontId="16" fillId="3" borderId="0" xfId="0" applyNumberFormat="1" applyFont="1" applyFill="1"/>
    <xf numFmtId="39" fontId="16" fillId="3" borderId="11" xfId="0" applyNumberFormat="1" applyFont="1" applyFill="1" applyBorder="1"/>
    <xf numFmtId="9" fontId="16" fillId="3" borderId="11" xfId="5" applyFont="1" applyFill="1" applyBorder="1"/>
    <xf numFmtId="0" fontId="19" fillId="3" borderId="0" xfId="0" applyFont="1" applyFill="1"/>
    <xf numFmtId="38" fontId="16" fillId="3" borderId="0" xfId="8" applyNumberFormat="1" applyFont="1" applyFill="1"/>
    <xf numFmtId="38" fontId="16" fillId="3" borderId="11" xfId="8" applyNumberFormat="1" applyFont="1" applyFill="1" applyBorder="1"/>
    <xf numFmtId="174" fontId="19" fillId="3" borderId="0" xfId="0" applyNumberFormat="1" applyFont="1" applyFill="1"/>
    <xf numFmtId="38" fontId="16" fillId="3" borderId="0" xfId="0" applyNumberFormat="1" applyFont="1" applyFill="1" applyAlignment="1">
      <alignment horizontal="right"/>
    </xf>
    <xf numFmtId="38" fontId="16" fillId="3" borderId="11" xfId="0" applyNumberFormat="1" applyFont="1" applyFill="1" applyBorder="1" applyAlignment="1">
      <alignment horizontal="right"/>
    </xf>
    <xf numFmtId="172" fontId="16" fillId="3" borderId="18" xfId="0" applyNumberFormat="1" applyFont="1" applyFill="1" applyBorder="1"/>
    <xf numFmtId="38" fontId="16" fillId="3" borderId="58" xfId="8" applyNumberFormat="1" applyFont="1" applyFill="1" applyBorder="1"/>
    <xf numFmtId="9" fontId="16" fillId="3" borderId="56" xfId="0" applyNumberFormat="1" applyFont="1" applyFill="1" applyBorder="1"/>
    <xf numFmtId="175" fontId="16" fillId="3" borderId="18" xfId="0" applyNumberFormat="1" applyFont="1" applyFill="1" applyBorder="1"/>
    <xf numFmtId="37" fontId="16" fillId="3" borderId="58" xfId="0" applyNumberFormat="1" applyFont="1" applyFill="1" applyBorder="1"/>
    <xf numFmtId="38" fontId="16" fillId="3" borderId="58" xfId="0" applyNumberFormat="1" applyFont="1" applyFill="1" applyBorder="1"/>
    <xf numFmtId="172" fontId="16" fillId="3" borderId="0" xfId="0" applyNumberFormat="1" applyFont="1" applyFill="1"/>
    <xf numFmtId="0" fontId="16" fillId="3" borderId="18" xfId="0" applyFont="1" applyFill="1" applyBorder="1"/>
    <xf numFmtId="2" fontId="16" fillId="3" borderId="58" xfId="0" applyNumberFormat="1" applyFont="1" applyFill="1" applyBorder="1" applyAlignment="1">
      <alignment horizontal="fill"/>
    </xf>
    <xf numFmtId="172" fontId="16" fillId="3" borderId="56" xfId="0" applyNumberFormat="1" applyFont="1" applyFill="1" applyBorder="1" applyAlignment="1">
      <alignment horizontal="fill"/>
    </xf>
    <xf numFmtId="172" fontId="16" fillId="3" borderId="58" xfId="0" applyNumberFormat="1" applyFont="1" applyFill="1" applyBorder="1" applyAlignment="1">
      <alignment horizontal="fill"/>
    </xf>
    <xf numFmtId="172" fontId="17" fillId="3" borderId="18" xfId="0" applyNumberFormat="1" applyFont="1" applyFill="1" applyBorder="1"/>
    <xf numFmtId="38" fontId="17" fillId="3" borderId="58" xfId="0" applyNumberFormat="1" applyFont="1" applyFill="1" applyBorder="1"/>
    <xf numFmtId="9" fontId="17" fillId="3" borderId="56" xfId="0" applyNumberFormat="1" applyFont="1" applyFill="1" applyBorder="1"/>
    <xf numFmtId="9" fontId="17" fillId="3" borderId="18" xfId="0" applyNumberFormat="1" applyFont="1" applyFill="1" applyBorder="1"/>
    <xf numFmtId="0" fontId="17" fillId="3" borderId="12" xfId="0" applyFont="1" applyFill="1" applyBorder="1"/>
    <xf numFmtId="0" fontId="17" fillId="3" borderId="26" xfId="0" applyFont="1" applyFill="1" applyBorder="1"/>
    <xf numFmtId="38" fontId="17" fillId="3" borderId="60" xfId="0" applyNumberFormat="1" applyFont="1" applyFill="1" applyBorder="1"/>
    <xf numFmtId="9" fontId="17" fillId="3" borderId="61" xfId="0" applyNumberFormat="1" applyFont="1" applyFill="1" applyBorder="1"/>
    <xf numFmtId="9" fontId="17" fillId="3" borderId="26" xfId="0" applyNumberFormat="1" applyFont="1" applyFill="1" applyBorder="1"/>
    <xf numFmtId="40" fontId="2" fillId="3" borderId="0" xfId="0" applyNumberFormat="1" applyFont="1" applyFill="1" applyAlignment="1">
      <alignment vertical="center"/>
    </xf>
    <xf numFmtId="40" fontId="28" fillId="3" borderId="52" xfId="0" applyNumberFormat="1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40" fontId="29" fillId="3" borderId="0" xfId="0" applyNumberFormat="1" applyFont="1" applyFill="1" applyAlignment="1">
      <alignment horizontal="center" vertical="center"/>
    </xf>
    <xf numFmtId="40" fontId="2" fillId="8" borderId="1" xfId="0" applyNumberFormat="1" applyFont="1" applyFill="1" applyBorder="1" applyAlignment="1">
      <alignment vertical="center"/>
    </xf>
    <xf numFmtId="176" fontId="30" fillId="9" borderId="62" xfId="4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40" fontId="2" fillId="8" borderId="6" xfId="0" applyNumberFormat="1" applyFont="1" applyFill="1" applyBorder="1" applyAlignment="1">
      <alignment vertical="center"/>
    </xf>
    <xf numFmtId="176" fontId="10" fillId="10" borderId="63" xfId="4" quotePrefix="1" applyFont="1" applyFill="1" applyBorder="1" applyAlignment="1">
      <alignment horizontal="center" vertical="center"/>
    </xf>
    <xf numFmtId="0" fontId="4" fillId="11" borderId="62" xfId="0" applyFont="1" applyFill="1" applyBorder="1" applyAlignment="1">
      <alignment horizontal="center" vertical="center"/>
    </xf>
    <xf numFmtId="40" fontId="24" fillId="8" borderId="6" xfId="0" applyNumberFormat="1" applyFont="1" applyFill="1" applyBorder="1" applyAlignment="1">
      <alignment vertical="center"/>
    </xf>
    <xf numFmtId="0" fontId="4" fillId="12" borderId="42" xfId="0" applyFont="1" applyFill="1" applyBorder="1" applyAlignment="1">
      <alignment horizontal="center" vertical="center"/>
    </xf>
    <xf numFmtId="0" fontId="4" fillId="12" borderId="43" xfId="0" applyFont="1" applyFill="1" applyBorder="1" applyAlignment="1">
      <alignment horizontal="center" vertical="center"/>
    </xf>
    <xf numFmtId="177" fontId="8" fillId="10" borderId="64" xfId="4" applyNumberFormat="1" applyFont="1" applyFill="1" applyBorder="1" applyAlignment="1">
      <alignment horizontal="center" vertical="center"/>
    </xf>
    <xf numFmtId="0" fontId="4" fillId="11" borderId="65" xfId="0" applyFont="1" applyFill="1" applyBorder="1" applyAlignment="1">
      <alignment horizontal="center" vertical="center"/>
    </xf>
    <xf numFmtId="40" fontId="25" fillId="3" borderId="41" xfId="0" applyNumberFormat="1" applyFont="1" applyFill="1" applyBorder="1" applyAlignment="1">
      <alignment horizontal="center" vertical="center"/>
    </xf>
    <xf numFmtId="15" fontId="4" fillId="12" borderId="42" xfId="0" applyNumberFormat="1" applyFont="1" applyFill="1" applyBorder="1" applyAlignment="1">
      <alignment horizontal="center" vertical="center"/>
    </xf>
    <xf numFmtId="178" fontId="34" fillId="12" borderId="42" xfId="0" applyNumberFormat="1" applyFont="1" applyFill="1" applyBorder="1" applyAlignment="1" applyProtection="1">
      <alignment horizontal="center" vertical="center"/>
      <protection locked="0"/>
    </xf>
    <xf numFmtId="178" fontId="34" fillId="12" borderId="43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40" fontId="24" fillId="3" borderId="0" xfId="0" applyNumberFormat="1" applyFont="1" applyFill="1" applyAlignment="1">
      <alignment vertical="center"/>
    </xf>
    <xf numFmtId="176" fontId="10" fillId="10" borderId="63" xfId="4" applyFont="1" applyFill="1" applyBorder="1" applyAlignment="1" applyProtection="1">
      <alignment horizontal="center" vertical="center"/>
      <protection locked="0"/>
    </xf>
    <xf numFmtId="0" fontId="34" fillId="11" borderId="65" xfId="0" applyFont="1" applyFill="1" applyBorder="1" applyAlignment="1" applyProtection="1">
      <alignment horizontal="center" vertical="center"/>
      <protection locked="0"/>
    </xf>
    <xf numFmtId="179" fontId="24" fillId="3" borderId="0" xfId="0" applyNumberFormat="1" applyFont="1" applyFill="1" applyAlignment="1">
      <alignment vertical="center"/>
    </xf>
    <xf numFmtId="0" fontId="30" fillId="3" borderId="62" xfId="0" applyFont="1" applyFill="1" applyBorder="1" applyAlignment="1">
      <alignment horizontal="center" vertical="center"/>
    </xf>
    <xf numFmtId="0" fontId="4" fillId="13" borderId="62" xfId="0" applyFont="1" applyFill="1" applyBorder="1" applyAlignment="1">
      <alignment horizontal="center" vertical="center"/>
    </xf>
    <xf numFmtId="40" fontId="25" fillId="3" borderId="44" xfId="0" applyNumberFormat="1" applyFont="1" applyFill="1" applyBorder="1" applyAlignment="1">
      <alignment horizontal="center" vertical="center"/>
    </xf>
    <xf numFmtId="15" fontId="4" fillId="12" borderId="25" xfId="0" applyNumberFormat="1" applyFont="1" applyFill="1" applyBorder="1" applyAlignment="1">
      <alignment horizontal="center" vertical="center"/>
    </xf>
    <xf numFmtId="0" fontId="4" fillId="12" borderId="25" xfId="0" applyFont="1" applyFill="1" applyBorder="1" applyAlignment="1">
      <alignment horizontal="center" vertical="center"/>
    </xf>
    <xf numFmtId="38" fontId="24" fillId="3" borderId="0" xfId="0" applyNumberFormat="1" applyFont="1" applyFill="1" applyAlignment="1">
      <alignment vertical="center"/>
    </xf>
    <xf numFmtId="0" fontId="4" fillId="13" borderId="65" xfId="0" applyFont="1" applyFill="1" applyBorder="1" applyAlignment="1">
      <alignment horizontal="center" vertical="center"/>
    </xf>
    <xf numFmtId="40" fontId="24" fillId="8" borderId="1" xfId="0" applyNumberFormat="1" applyFont="1" applyFill="1" applyBorder="1" applyAlignment="1">
      <alignment vertical="center"/>
    </xf>
    <xf numFmtId="176" fontId="34" fillId="13" borderId="66" xfId="0" applyNumberFormat="1" applyFont="1" applyFill="1" applyBorder="1" applyAlignment="1" applyProtection="1">
      <alignment horizontal="center" vertical="center"/>
      <protection locked="0"/>
    </xf>
    <xf numFmtId="15" fontId="10" fillId="5" borderId="46" xfId="0" applyNumberFormat="1" applyFont="1" applyFill="1" applyBorder="1" applyAlignment="1">
      <alignment horizontal="center" vertical="center"/>
    </xf>
    <xf numFmtId="0" fontId="37" fillId="32" borderId="46" xfId="0" applyFont="1" applyFill="1" applyBorder="1" applyAlignment="1">
      <alignment horizontal="center" vertical="center"/>
    </xf>
    <xf numFmtId="176" fontId="10" fillId="10" borderId="66" xfId="4" applyFont="1" applyFill="1" applyBorder="1" applyAlignment="1" applyProtection="1">
      <alignment horizontal="center" vertical="center"/>
      <protection locked="0"/>
    </xf>
    <xf numFmtId="40" fontId="2" fillId="3" borderId="0" xfId="0" applyNumberFormat="1" applyFont="1" applyFill="1" applyAlignment="1">
      <alignment horizontal="center" vertical="center"/>
    </xf>
    <xf numFmtId="0" fontId="37" fillId="32" borderId="46" xfId="0" applyFont="1" applyFill="1" applyBorder="1" applyAlignment="1" applyProtection="1">
      <alignment horizontal="center" vertical="center"/>
      <protection locked="0"/>
    </xf>
    <xf numFmtId="40" fontId="24" fillId="3" borderId="12" xfId="0" applyNumberFormat="1" applyFont="1" applyFill="1" applyBorder="1" applyAlignment="1">
      <alignment vertical="center"/>
    </xf>
    <xf numFmtId="40" fontId="30" fillId="33" borderId="52" xfId="0" applyNumberFormat="1" applyFont="1" applyFill="1" applyBorder="1" applyAlignment="1">
      <alignment horizontal="center" vertical="center"/>
    </xf>
    <xf numFmtId="40" fontId="30" fillId="33" borderId="67" xfId="0" applyNumberFormat="1" applyFont="1" applyFill="1" applyBorder="1" applyAlignment="1">
      <alignment horizontal="center" vertical="center"/>
    </xf>
    <xf numFmtId="40" fontId="30" fillId="33" borderId="68" xfId="0" applyNumberFormat="1" applyFont="1" applyFill="1" applyBorder="1" applyAlignment="1">
      <alignment horizontal="center" vertical="center"/>
    </xf>
    <xf numFmtId="40" fontId="38" fillId="33" borderId="63" xfId="0" applyNumberFormat="1" applyFont="1" applyFill="1" applyBorder="1" applyAlignment="1">
      <alignment horizontal="center" vertical="center"/>
    </xf>
    <xf numFmtId="180" fontId="4" fillId="14" borderId="69" xfId="0" applyNumberFormat="1" applyFont="1" applyFill="1" applyBorder="1" applyAlignment="1">
      <alignment horizontal="center" vertical="center"/>
    </xf>
    <xf numFmtId="40" fontId="2" fillId="8" borderId="2" xfId="0" applyNumberFormat="1" applyFont="1" applyFill="1" applyBorder="1" applyAlignment="1">
      <alignment vertical="center"/>
    </xf>
    <xf numFmtId="40" fontId="2" fillId="8" borderId="10" xfId="0" applyNumberFormat="1" applyFont="1" applyFill="1" applyBorder="1" applyAlignment="1">
      <alignment vertical="center"/>
    </xf>
    <xf numFmtId="40" fontId="38" fillId="33" borderId="70" xfId="0" applyNumberFormat="1" applyFont="1" applyFill="1" applyBorder="1" applyAlignment="1">
      <alignment horizontal="center" vertical="center"/>
    </xf>
    <xf numFmtId="40" fontId="4" fillId="14" borderId="45" xfId="0" applyNumberFormat="1" applyFont="1" applyFill="1" applyBorder="1" applyAlignment="1">
      <alignment horizontal="center" vertical="center"/>
    </xf>
    <xf numFmtId="40" fontId="2" fillId="8" borderId="7" xfId="0" applyNumberFormat="1" applyFont="1" applyFill="1" applyBorder="1" applyAlignment="1">
      <alignment vertical="center"/>
    </xf>
    <xf numFmtId="40" fontId="2" fillId="8" borderId="12" xfId="0" applyNumberFormat="1" applyFont="1" applyFill="1" applyBorder="1" applyAlignment="1">
      <alignment vertical="center"/>
    </xf>
    <xf numFmtId="40" fontId="2" fillId="8" borderId="14" xfId="0" applyNumberFormat="1" applyFont="1" applyFill="1" applyBorder="1" applyAlignment="1">
      <alignment vertical="center"/>
    </xf>
    <xf numFmtId="40" fontId="2" fillId="3" borderId="37" xfId="0" applyNumberFormat="1" applyFont="1" applyFill="1" applyBorder="1" applyAlignment="1">
      <alignment vertical="center"/>
    </xf>
    <xf numFmtId="0" fontId="27" fillId="3" borderId="37" xfId="0" quotePrefix="1" applyFont="1" applyFill="1" applyBorder="1" applyAlignment="1">
      <alignment horizontal="center" vertical="center" wrapText="1"/>
    </xf>
    <xf numFmtId="40" fontId="2" fillId="3" borderId="12" xfId="0" applyNumberFormat="1" applyFont="1" applyFill="1" applyBorder="1" applyAlignment="1">
      <alignment vertical="center"/>
    </xf>
    <xf numFmtId="40" fontId="2" fillId="8" borderId="36" xfId="0" applyNumberFormat="1" applyFont="1" applyFill="1" applyBorder="1" applyAlignment="1">
      <alignment vertical="center"/>
    </xf>
    <xf numFmtId="40" fontId="2" fillId="8" borderId="37" xfId="0" applyNumberFormat="1" applyFont="1" applyFill="1" applyBorder="1" applyAlignment="1">
      <alignment vertical="center"/>
    </xf>
    <xf numFmtId="40" fontId="2" fillId="8" borderId="34" xfId="0" applyNumberFormat="1" applyFont="1" applyFill="1" applyBorder="1" applyAlignment="1">
      <alignment vertical="center"/>
    </xf>
    <xf numFmtId="40" fontId="4" fillId="14" borderId="42" xfId="0" applyNumberFormat="1" applyFont="1" applyFill="1" applyBorder="1" applyAlignment="1">
      <alignment horizontal="center" vertical="center"/>
    </xf>
    <xf numFmtId="40" fontId="4" fillId="14" borderId="46" xfId="0" applyNumberFormat="1" applyFont="1" applyFill="1" applyBorder="1" applyAlignment="1">
      <alignment horizontal="center" vertical="center"/>
    </xf>
    <xf numFmtId="40" fontId="2" fillId="8" borderId="0" xfId="0" applyNumberFormat="1" applyFont="1" applyFill="1" applyAlignment="1">
      <alignment vertical="center"/>
    </xf>
    <xf numFmtId="40" fontId="2" fillId="8" borderId="11" xfId="0" applyNumberFormat="1" applyFont="1" applyFill="1" applyBorder="1" applyAlignment="1">
      <alignment vertical="center"/>
    </xf>
    <xf numFmtId="181" fontId="4" fillId="14" borderId="33" xfId="0" applyNumberFormat="1" applyFont="1" applyFill="1" applyBorder="1" applyAlignment="1">
      <alignment horizontal="center" vertical="center"/>
    </xf>
    <xf numFmtId="181" fontId="4" fillId="14" borderId="42" xfId="0" applyNumberFormat="1" applyFont="1" applyFill="1" applyBorder="1" applyAlignment="1">
      <alignment horizontal="center" vertical="center"/>
    </xf>
    <xf numFmtId="181" fontId="34" fillId="14" borderId="42" xfId="0" applyNumberFormat="1" applyFont="1" applyFill="1" applyBorder="1" applyAlignment="1">
      <alignment horizontal="center" vertical="center"/>
    </xf>
    <xf numFmtId="38" fontId="2" fillId="3" borderId="48" xfId="0" applyNumberFormat="1" applyFont="1" applyFill="1" applyBorder="1" applyAlignment="1">
      <alignment horizontal="right" vertical="center"/>
    </xf>
    <xf numFmtId="40" fontId="2" fillId="16" borderId="49" xfId="0" applyNumberFormat="1" applyFont="1" applyFill="1" applyBorder="1" applyAlignment="1">
      <alignment vertical="center"/>
    </xf>
    <xf numFmtId="182" fontId="42" fillId="3" borderId="33" xfId="0" applyNumberFormat="1" applyFont="1" applyFill="1" applyBorder="1" applyAlignment="1">
      <alignment horizontal="right" vertical="center"/>
    </xf>
    <xf numFmtId="38" fontId="2" fillId="3" borderId="33" xfId="0" applyNumberFormat="1" applyFont="1" applyFill="1" applyBorder="1" applyAlignment="1">
      <alignment horizontal="right" vertical="center"/>
    </xf>
    <xf numFmtId="38" fontId="2" fillId="3" borderId="18" xfId="0" applyNumberFormat="1" applyFont="1" applyFill="1" applyBorder="1" applyAlignment="1">
      <alignment horizontal="right" vertical="center"/>
    </xf>
    <xf numFmtId="40" fontId="2" fillId="16" borderId="9" xfId="0" applyNumberFormat="1" applyFont="1" applyFill="1" applyBorder="1" applyAlignment="1">
      <alignment vertical="center"/>
    </xf>
    <xf numFmtId="182" fontId="42" fillId="3" borderId="35" xfId="0" applyNumberFormat="1" applyFont="1" applyFill="1" applyBorder="1" applyAlignment="1">
      <alignment horizontal="right" vertical="center"/>
    </xf>
    <xf numFmtId="38" fontId="2" fillId="3" borderId="35" xfId="0" applyNumberFormat="1" applyFont="1" applyFill="1" applyBorder="1" applyAlignment="1">
      <alignment horizontal="right" vertical="center"/>
    </xf>
    <xf numFmtId="0" fontId="8" fillId="17" borderId="18" xfId="0" applyFont="1" applyFill="1" applyBorder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38" fontId="2" fillId="3" borderId="29" xfId="0" applyNumberFormat="1" applyFont="1" applyFill="1" applyBorder="1" applyAlignment="1">
      <alignment horizontal="right" vertical="center"/>
    </xf>
    <xf numFmtId="40" fontId="2" fillId="16" borderId="22" xfId="0" applyNumberFormat="1" applyFont="1" applyFill="1" applyBorder="1" applyAlignment="1">
      <alignment vertical="center"/>
    </xf>
    <xf numFmtId="182" fontId="42" fillId="3" borderId="23" xfId="0" applyNumberFormat="1" applyFont="1" applyFill="1" applyBorder="1" applyAlignment="1">
      <alignment horizontal="right" vertical="center"/>
    </xf>
    <xf numFmtId="38" fontId="2" fillId="3" borderId="23" xfId="0" applyNumberFormat="1" applyFont="1" applyFill="1" applyBorder="1" applyAlignment="1">
      <alignment horizontal="right" vertical="center"/>
    </xf>
    <xf numFmtId="40" fontId="4" fillId="5" borderId="42" xfId="0" applyNumberFormat="1" applyFont="1" applyFill="1" applyBorder="1" applyAlignment="1">
      <alignment vertical="center"/>
    </xf>
    <xf numFmtId="38" fontId="4" fillId="5" borderId="42" xfId="0" applyNumberFormat="1" applyFont="1" applyFill="1" applyBorder="1" applyAlignment="1">
      <alignment horizontal="right" vertical="center"/>
    </xf>
    <xf numFmtId="40" fontId="4" fillId="5" borderId="46" xfId="0" applyNumberFormat="1" applyFont="1" applyFill="1" applyBorder="1" applyAlignment="1">
      <alignment vertical="center"/>
    </xf>
    <xf numFmtId="182" fontId="34" fillId="5" borderId="42" xfId="0" applyNumberFormat="1" applyFont="1" applyFill="1" applyBorder="1" applyAlignment="1">
      <alignment horizontal="right" vertical="center"/>
    </xf>
    <xf numFmtId="182" fontId="42" fillId="3" borderId="48" xfId="0" applyNumberFormat="1" applyFont="1" applyFill="1" applyBorder="1" applyAlignment="1">
      <alignment horizontal="right" vertical="center"/>
    </xf>
    <xf numFmtId="0" fontId="43" fillId="3" borderId="0" xfId="0" applyFont="1" applyFill="1" applyAlignment="1">
      <alignment horizontal="center" vertical="center"/>
    </xf>
    <xf numFmtId="182" fontId="42" fillId="3" borderId="18" xfId="0" applyNumberFormat="1" applyFont="1" applyFill="1" applyBorder="1" applyAlignment="1">
      <alignment horizontal="right" vertical="center"/>
    </xf>
    <xf numFmtId="182" fontId="42" fillId="3" borderId="29" xfId="0" applyNumberFormat="1" applyFont="1" applyFill="1" applyBorder="1" applyAlignment="1">
      <alignment horizontal="right" vertical="center"/>
    </xf>
    <xf numFmtId="10" fontId="2" fillId="3" borderId="0" xfId="6" applyNumberFormat="1" applyFont="1" applyFill="1" applyAlignment="1">
      <alignment vertical="center"/>
    </xf>
    <xf numFmtId="38" fontId="4" fillId="5" borderId="42" xfId="0" applyNumberFormat="1" applyFont="1" applyFill="1" applyBorder="1" applyAlignment="1">
      <alignment vertical="center"/>
    </xf>
    <xf numFmtId="38" fontId="4" fillId="5" borderId="46" xfId="0" applyNumberFormat="1" applyFont="1" applyFill="1" applyBorder="1" applyAlignment="1">
      <alignment vertical="center"/>
    </xf>
    <xf numFmtId="40" fontId="4" fillId="3" borderId="0" xfId="0" applyNumberFormat="1" applyFont="1" applyFill="1" applyAlignment="1">
      <alignment vertical="center"/>
    </xf>
    <xf numFmtId="38" fontId="2" fillId="3" borderId="0" xfId="0" applyNumberFormat="1" applyFont="1" applyFill="1" applyAlignment="1">
      <alignment vertical="center"/>
    </xf>
    <xf numFmtId="183" fontId="4" fillId="3" borderId="0" xfId="0" applyNumberFormat="1" applyFont="1" applyFill="1" applyAlignment="1">
      <alignment horizontal="center" vertical="center"/>
    </xf>
    <xf numFmtId="177" fontId="4" fillId="14" borderId="48" xfId="0" applyNumberFormat="1" applyFont="1" applyFill="1" applyBorder="1" applyAlignment="1">
      <alignment horizontal="center" vertical="center"/>
    </xf>
    <xf numFmtId="177" fontId="34" fillId="14" borderId="48" xfId="0" applyNumberFormat="1" applyFont="1" applyFill="1" applyBorder="1" applyAlignment="1">
      <alignment horizontal="center" vertical="center"/>
    </xf>
    <xf numFmtId="38" fontId="2" fillId="3" borderId="48" xfId="0" applyNumberFormat="1" applyFont="1" applyFill="1" applyBorder="1" applyAlignment="1">
      <alignment vertical="center"/>
    </xf>
    <xf numFmtId="182" fontId="42" fillId="3" borderId="48" xfId="0" applyNumberFormat="1" applyFont="1" applyFill="1" applyBorder="1" applyAlignment="1">
      <alignment vertical="center"/>
    </xf>
    <xf numFmtId="38" fontId="2" fillId="3" borderId="18" xfId="0" applyNumberFormat="1" applyFont="1" applyFill="1" applyBorder="1" applyAlignment="1">
      <alignment vertical="center"/>
    </xf>
    <xf numFmtId="182" fontId="42" fillId="3" borderId="18" xfId="0" applyNumberFormat="1" applyFont="1" applyFill="1" applyBorder="1" applyAlignment="1">
      <alignment vertical="center"/>
    </xf>
    <xf numFmtId="182" fontId="42" fillId="3" borderId="35" xfId="0" applyNumberFormat="1" applyFont="1" applyFill="1" applyBorder="1" applyAlignment="1">
      <alignment vertical="center"/>
    </xf>
    <xf numFmtId="0" fontId="30" fillId="0" borderId="0" xfId="0" applyFont="1" applyAlignment="1">
      <alignment horizontal="center" vertical="center"/>
    </xf>
    <xf numFmtId="182" fontId="34" fillId="5" borderId="47" xfId="0" applyNumberFormat="1" applyFont="1" applyFill="1" applyBorder="1" applyAlignment="1">
      <alignment vertical="center"/>
    </xf>
    <xf numFmtId="38" fontId="34" fillId="3" borderId="48" xfId="0" applyNumberFormat="1" applyFont="1" applyFill="1" applyBorder="1" applyAlignment="1">
      <alignment vertical="center"/>
    </xf>
    <xf numFmtId="40" fontId="34" fillId="16" borderId="49" xfId="0" applyNumberFormat="1" applyFont="1" applyFill="1" applyBorder="1" applyAlignment="1">
      <alignment vertical="center"/>
    </xf>
    <xf numFmtId="182" fontId="34" fillId="3" borderId="33" xfId="0" applyNumberFormat="1" applyFont="1" applyFill="1" applyBorder="1" applyAlignment="1">
      <alignment vertical="center"/>
    </xf>
    <xf numFmtId="38" fontId="2" fillId="3" borderId="29" xfId="0" applyNumberFormat="1" applyFont="1" applyFill="1" applyBorder="1" applyAlignment="1">
      <alignment vertical="center"/>
    </xf>
    <xf numFmtId="182" fontId="42" fillId="3" borderId="23" xfId="0" applyNumberFormat="1" applyFont="1" applyFill="1" applyBorder="1" applyAlignment="1">
      <alignment vertical="center"/>
    </xf>
    <xf numFmtId="40" fontId="4" fillId="5" borderId="49" xfId="0" applyNumberFormat="1" applyFont="1" applyFill="1" applyBorder="1" applyAlignment="1">
      <alignment vertical="center"/>
    </xf>
    <xf numFmtId="182" fontId="42" fillId="3" borderId="33" xfId="0" applyNumberFormat="1" applyFont="1" applyFill="1" applyBorder="1" applyAlignment="1">
      <alignment vertical="center"/>
    </xf>
    <xf numFmtId="184" fontId="2" fillId="3" borderId="0" xfId="6" applyNumberFormat="1" applyFont="1" applyFill="1" applyAlignment="1">
      <alignment vertical="center"/>
    </xf>
    <xf numFmtId="185" fontId="10" fillId="0" borderId="0" xfId="0" applyNumberFormat="1" applyFont="1" applyAlignment="1" applyProtection="1">
      <alignment vertical="center"/>
      <protection locked="0"/>
    </xf>
    <xf numFmtId="185" fontId="10" fillId="7" borderId="0" xfId="0" applyNumberFormat="1" applyFont="1" applyFill="1" applyAlignment="1" applyProtection="1">
      <alignment horizontal="center" vertical="center"/>
      <protection locked="0"/>
    </xf>
    <xf numFmtId="185" fontId="10" fillId="3" borderId="0" xfId="0" applyNumberFormat="1" applyFont="1" applyFill="1" applyAlignment="1" applyProtection="1">
      <alignment horizontal="center" vertical="center"/>
      <protection locked="0"/>
    </xf>
    <xf numFmtId="185" fontId="10" fillId="3" borderId="0" xfId="0" quotePrefix="1" applyNumberFormat="1" applyFont="1" applyFill="1" applyAlignment="1" applyProtection="1">
      <alignment horizontal="left" vertical="center"/>
      <protection locked="0"/>
    </xf>
    <xf numFmtId="185" fontId="10" fillId="3" borderId="0" xfId="0" applyNumberFormat="1" applyFont="1" applyFill="1" applyAlignment="1" applyProtection="1">
      <alignment vertical="center"/>
      <protection locked="0"/>
    </xf>
    <xf numFmtId="180" fontId="10" fillId="3" borderId="46" xfId="0" quotePrefix="1" applyNumberFormat="1" applyFont="1" applyFill="1" applyBorder="1" applyAlignment="1" applyProtection="1">
      <alignment horizontal="center" vertical="center"/>
      <protection locked="0"/>
    </xf>
    <xf numFmtId="180" fontId="10" fillId="3" borderId="42" xfId="0" quotePrefix="1" applyNumberFormat="1" applyFont="1" applyFill="1" applyBorder="1" applyAlignment="1" applyProtection="1">
      <alignment horizontal="center" vertical="center"/>
      <protection locked="0"/>
    </xf>
    <xf numFmtId="180" fontId="4" fillId="14" borderId="42" xfId="0" applyNumberFormat="1" applyFont="1" applyFill="1" applyBorder="1" applyAlignment="1">
      <alignment horizontal="center" vertical="center"/>
    </xf>
    <xf numFmtId="185" fontId="10" fillId="16" borderId="48" xfId="0" applyNumberFormat="1" applyFont="1" applyFill="1" applyBorder="1" applyAlignment="1" applyProtection="1">
      <alignment horizontal="left" vertical="center"/>
      <protection locked="0"/>
    </xf>
    <xf numFmtId="185" fontId="10" fillId="1" borderId="48" xfId="0" applyNumberFormat="1" applyFont="1" applyFill="1" applyBorder="1" applyAlignment="1" applyProtection="1">
      <alignment vertical="center"/>
      <protection locked="0"/>
    </xf>
    <xf numFmtId="10" fontId="10" fillId="5" borderId="18" xfId="0" applyNumberFormat="1" applyFont="1" applyFill="1" applyBorder="1" applyAlignment="1" applyProtection="1">
      <alignment vertical="center"/>
      <protection locked="0"/>
    </xf>
    <xf numFmtId="40" fontId="2" fillId="8" borderId="49" xfId="0" applyNumberFormat="1" applyFont="1" applyFill="1" applyBorder="1" applyAlignment="1">
      <alignment vertical="center"/>
    </xf>
    <xf numFmtId="40" fontId="2" fillId="8" borderId="50" xfId="0" applyNumberFormat="1" applyFont="1" applyFill="1" applyBorder="1" applyAlignment="1">
      <alignment vertical="center"/>
    </xf>
    <xf numFmtId="10" fontId="10" fillId="3" borderId="48" xfId="0" applyNumberFormat="1" applyFont="1" applyFill="1" applyBorder="1" applyAlignment="1" applyProtection="1">
      <alignment vertical="center"/>
      <protection locked="0"/>
    </xf>
    <xf numFmtId="40" fontId="2" fillId="8" borderId="33" xfId="0" applyNumberFormat="1" applyFont="1" applyFill="1" applyBorder="1" applyAlignment="1">
      <alignment vertical="center"/>
    </xf>
    <xf numFmtId="185" fontId="10" fillId="16" borderId="18" xfId="0" applyNumberFormat="1" applyFont="1" applyFill="1" applyBorder="1" applyAlignment="1" applyProtection="1">
      <alignment vertical="center"/>
      <protection locked="0"/>
    </xf>
    <xf numFmtId="185" fontId="10" fillId="1" borderId="18" xfId="0" applyNumberFormat="1" applyFont="1" applyFill="1" applyBorder="1" applyAlignment="1" applyProtection="1">
      <alignment vertical="center"/>
      <protection locked="0"/>
    </xf>
    <xf numFmtId="40" fontId="2" fillId="8" borderId="9" xfId="0" applyNumberFormat="1" applyFont="1" applyFill="1" applyBorder="1" applyAlignment="1">
      <alignment vertical="center"/>
    </xf>
    <xf numFmtId="10" fontId="10" fillId="3" borderId="18" xfId="0" applyNumberFormat="1" applyFont="1" applyFill="1" applyBorder="1" applyAlignment="1" applyProtection="1">
      <alignment vertical="center"/>
      <protection locked="0"/>
    </xf>
    <xf numFmtId="40" fontId="2" fillId="8" borderId="35" xfId="0" applyNumberFormat="1" applyFont="1" applyFill="1" applyBorder="1" applyAlignment="1">
      <alignment vertical="center"/>
    </xf>
    <xf numFmtId="0" fontId="4" fillId="16" borderId="18" xfId="0" applyFont="1" applyFill="1" applyBorder="1" applyAlignment="1">
      <alignment horizontal="left" vertical="center"/>
    </xf>
    <xf numFmtId="0" fontId="4" fillId="16" borderId="18" xfId="0" quotePrefix="1" applyFont="1" applyFill="1" applyBorder="1" applyAlignment="1">
      <alignment horizontal="left" vertical="center"/>
    </xf>
    <xf numFmtId="0" fontId="4" fillId="16" borderId="29" xfId="0" applyFont="1" applyFill="1" applyBorder="1" applyAlignment="1">
      <alignment horizontal="left" vertical="center"/>
    </xf>
    <xf numFmtId="185" fontId="10" fillId="1" borderId="29" xfId="0" applyNumberFormat="1" applyFont="1" applyFill="1" applyBorder="1" applyAlignment="1" applyProtection="1">
      <alignment vertical="center"/>
      <protection locked="0"/>
    </xf>
    <xf numFmtId="10" fontId="10" fillId="5" borderId="29" xfId="0" applyNumberFormat="1" applyFont="1" applyFill="1" applyBorder="1" applyAlignment="1" applyProtection="1">
      <alignment vertical="center"/>
      <protection locked="0"/>
    </xf>
    <xf numFmtId="40" fontId="2" fillId="8" borderId="22" xfId="0" applyNumberFormat="1" applyFont="1" applyFill="1" applyBorder="1" applyAlignment="1">
      <alignment vertical="center"/>
    </xf>
    <xf numFmtId="40" fontId="2" fillId="8" borderId="21" xfId="0" applyNumberFormat="1" applyFont="1" applyFill="1" applyBorder="1" applyAlignment="1">
      <alignment vertical="center"/>
    </xf>
    <xf numFmtId="10" fontId="10" fillId="3" borderId="29" xfId="0" applyNumberFormat="1" applyFont="1" applyFill="1" applyBorder="1" applyAlignment="1" applyProtection="1">
      <alignment vertical="center"/>
      <protection locked="0"/>
    </xf>
    <xf numFmtId="40" fontId="2" fillId="8" borderId="23" xfId="0" applyNumberFormat="1" applyFont="1" applyFill="1" applyBorder="1" applyAlignment="1">
      <alignment vertical="center"/>
    </xf>
    <xf numFmtId="0" fontId="56" fillId="33" borderId="0" xfId="0" applyFont="1" applyFill="1" applyAlignment="1">
      <alignment horizontal="left" vertical="center"/>
    </xf>
    <xf numFmtId="0" fontId="2" fillId="7" borderId="49" xfId="0" applyFont="1" applyFill="1" applyBorder="1" applyAlignment="1">
      <alignment vertical="center"/>
    </xf>
    <xf numFmtId="0" fontId="2" fillId="7" borderId="50" xfId="0" applyFont="1" applyFill="1" applyBorder="1" applyAlignment="1">
      <alignment vertical="center"/>
    </xf>
    <xf numFmtId="0" fontId="2" fillId="7" borderId="33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7" borderId="9" xfId="0" applyFont="1" applyFill="1" applyBorder="1" applyAlignment="1">
      <alignment vertical="center"/>
    </xf>
    <xf numFmtId="0" fontId="2" fillId="7" borderId="0" xfId="0" applyFont="1" applyFill="1" applyAlignment="1">
      <alignment vertical="center"/>
    </xf>
    <xf numFmtId="0" fontId="2" fillId="7" borderId="35" xfId="0" applyFont="1" applyFill="1" applyBorder="1" applyAlignment="1">
      <alignment vertical="center"/>
    </xf>
    <xf numFmtId="15" fontId="4" fillId="14" borderId="42" xfId="0" applyNumberFormat="1" applyFont="1" applyFill="1" applyBorder="1" applyAlignment="1">
      <alignment horizontal="center" vertical="center"/>
    </xf>
    <xf numFmtId="186" fontId="2" fillId="7" borderId="0" xfId="0" applyNumberFormat="1" applyFont="1" applyFill="1" applyAlignment="1">
      <alignment vertical="center"/>
    </xf>
    <xf numFmtId="186" fontId="2" fillId="7" borderId="35" xfId="0" applyNumberFormat="1" applyFont="1" applyFill="1" applyBorder="1" applyAlignment="1">
      <alignment vertical="center"/>
    </xf>
    <xf numFmtId="0" fontId="4" fillId="16" borderId="49" xfId="0" applyFont="1" applyFill="1" applyBorder="1" applyAlignment="1">
      <alignment horizontal="left" vertical="center"/>
    </xf>
    <xf numFmtId="40" fontId="4" fillId="3" borderId="18" xfId="0" applyNumberFormat="1" applyFont="1" applyFill="1" applyBorder="1" applyAlignment="1">
      <alignment vertical="center"/>
    </xf>
    <xf numFmtId="0" fontId="56" fillId="33" borderId="0" xfId="0" quotePrefix="1" applyFont="1" applyFill="1" applyAlignment="1">
      <alignment horizontal="left" vertical="center"/>
    </xf>
    <xf numFmtId="0" fontId="4" fillId="16" borderId="9" xfId="0" quotePrefix="1" applyFont="1" applyFill="1" applyBorder="1" applyAlignment="1">
      <alignment horizontal="left" vertical="center"/>
    </xf>
    <xf numFmtId="0" fontId="4" fillId="16" borderId="9" xfId="0" applyFont="1" applyFill="1" applyBorder="1" applyAlignment="1">
      <alignment horizontal="left" vertical="center"/>
    </xf>
    <xf numFmtId="186" fontId="17" fillId="0" borderId="18" xfId="0" quotePrefix="1" applyNumberFormat="1" applyFont="1" applyBorder="1" applyAlignment="1">
      <alignment horizontal="center" vertical="center"/>
    </xf>
    <xf numFmtId="176" fontId="2" fillId="7" borderId="0" xfId="0" applyNumberFormat="1" applyFont="1" applyFill="1" applyAlignment="1">
      <alignment vertical="center"/>
    </xf>
    <xf numFmtId="176" fontId="2" fillId="7" borderId="35" xfId="0" applyNumberFormat="1" applyFont="1" applyFill="1" applyBorder="1" applyAlignment="1">
      <alignment vertical="center"/>
    </xf>
    <xf numFmtId="182" fontId="4" fillId="3" borderId="42" xfId="0" applyNumberFormat="1" applyFont="1" applyFill="1" applyBorder="1" applyAlignment="1">
      <alignment vertical="center"/>
    </xf>
    <xf numFmtId="9" fontId="4" fillId="3" borderId="18" xfId="6" applyFont="1" applyFill="1" applyBorder="1" applyAlignment="1">
      <alignment vertical="center"/>
    </xf>
    <xf numFmtId="186" fontId="2" fillId="7" borderId="21" xfId="0" applyNumberFormat="1" applyFont="1" applyFill="1" applyBorder="1" applyAlignment="1">
      <alignment vertical="center"/>
    </xf>
    <xf numFmtId="186" fontId="2" fillId="7" borderId="23" xfId="0" applyNumberFormat="1" applyFont="1" applyFill="1" applyBorder="1" applyAlignment="1">
      <alignment vertical="center"/>
    </xf>
    <xf numFmtId="0" fontId="4" fillId="16" borderId="22" xfId="0" quotePrefix="1" applyFont="1" applyFill="1" applyBorder="1" applyAlignment="1">
      <alignment horizontal="left" vertical="center"/>
    </xf>
    <xf numFmtId="9" fontId="4" fillId="3" borderId="29" xfId="6" applyFont="1" applyFill="1" applyBorder="1" applyAlignment="1">
      <alignment vertical="center"/>
    </xf>
    <xf numFmtId="40" fontId="2" fillId="3" borderId="9" xfId="0" applyNumberFormat="1" applyFont="1" applyFill="1" applyBorder="1" applyAlignment="1">
      <alignment vertical="center"/>
    </xf>
    <xf numFmtId="40" fontId="2" fillId="3" borderId="35" xfId="0" applyNumberFormat="1" applyFont="1" applyFill="1" applyBorder="1" applyAlignment="1">
      <alignment vertical="center"/>
    </xf>
    <xf numFmtId="0" fontId="30" fillId="0" borderId="42" xfId="0" applyFont="1" applyBorder="1" applyAlignment="1">
      <alignment horizontal="center" vertical="center"/>
    </xf>
    <xf numFmtId="40" fontId="4" fillId="3" borderId="0" xfId="0" applyNumberFormat="1" applyFont="1" applyFill="1" applyAlignment="1">
      <alignment horizontal="center" vertical="center"/>
    </xf>
    <xf numFmtId="40" fontId="2" fillId="14" borderId="32" xfId="0" applyNumberFormat="1" applyFont="1" applyFill="1" applyBorder="1" applyAlignment="1">
      <alignment vertical="center"/>
    </xf>
    <xf numFmtId="40" fontId="2" fillId="14" borderId="47" xfId="0" applyNumberFormat="1" applyFont="1" applyFill="1" applyBorder="1" applyAlignment="1">
      <alignment vertical="center"/>
    </xf>
    <xf numFmtId="0" fontId="43" fillId="19" borderId="29" xfId="0" applyFont="1" applyFill="1" applyBorder="1" applyAlignment="1">
      <alignment horizontal="center" vertical="center"/>
    </xf>
    <xf numFmtId="40" fontId="4" fillId="14" borderId="22" xfId="0" applyNumberFormat="1" applyFont="1" applyFill="1" applyBorder="1" applyAlignment="1">
      <alignment horizontal="center" vertical="center"/>
    </xf>
    <xf numFmtId="40" fontId="2" fillId="14" borderId="21" xfId="0" applyNumberFormat="1" applyFont="1" applyFill="1" applyBorder="1" applyAlignment="1">
      <alignment vertical="center"/>
    </xf>
    <xf numFmtId="40" fontId="2" fillId="14" borderId="23" xfId="0" applyNumberFormat="1" applyFont="1" applyFill="1" applyBorder="1" applyAlignment="1">
      <alignment vertical="center"/>
    </xf>
    <xf numFmtId="0" fontId="43" fillId="19" borderId="18" xfId="0" quotePrefix="1" applyFont="1" applyFill="1" applyBorder="1" applyAlignment="1">
      <alignment horizontal="center" vertical="center"/>
    </xf>
    <xf numFmtId="0" fontId="4" fillId="18" borderId="32" xfId="0" applyFont="1" applyFill="1" applyBorder="1" applyAlignment="1">
      <alignment horizontal="centerContinuous" vertical="center"/>
    </xf>
    <xf numFmtId="0" fontId="2" fillId="7" borderId="22" xfId="0" applyFont="1" applyFill="1" applyBorder="1" applyAlignment="1">
      <alignment vertical="center"/>
    </xf>
    <xf numFmtId="0" fontId="2" fillId="7" borderId="21" xfId="0" applyFont="1" applyFill="1" applyBorder="1" applyAlignment="1">
      <alignment vertical="center"/>
    </xf>
    <xf numFmtId="0" fontId="2" fillId="7" borderId="23" xfId="0" applyFont="1" applyFill="1" applyBorder="1" applyAlignment="1">
      <alignment vertical="center"/>
    </xf>
    <xf numFmtId="0" fontId="4" fillId="5" borderId="46" xfId="0" applyFont="1" applyFill="1" applyBorder="1" applyAlignment="1">
      <alignment horizontal="centerContinuous" vertical="center"/>
    </xf>
    <xf numFmtId="40" fontId="2" fillId="20" borderId="32" xfId="0" applyNumberFormat="1" applyFont="1" applyFill="1" applyBorder="1" applyAlignment="1">
      <alignment vertical="center"/>
    </xf>
    <xf numFmtId="40" fontId="2" fillId="20" borderId="47" xfId="0" applyNumberFormat="1" applyFont="1" applyFill="1" applyBorder="1" applyAlignment="1">
      <alignment vertical="center"/>
    </xf>
    <xf numFmtId="0" fontId="44" fillId="19" borderId="29" xfId="0" applyFont="1" applyFill="1" applyBorder="1" applyAlignment="1">
      <alignment horizontal="center" vertical="center"/>
    </xf>
    <xf numFmtId="0" fontId="2" fillId="16" borderId="0" xfId="0" applyFont="1" applyFill="1" applyAlignment="1">
      <alignment horizontal="centerContinuous" vertical="center"/>
    </xf>
    <xf numFmtId="15" fontId="4" fillId="14" borderId="52" xfId="0" applyNumberFormat="1" applyFont="1" applyFill="1" applyBorder="1" applyAlignment="1">
      <alignment horizontal="center" vertical="center"/>
    </xf>
    <xf numFmtId="15" fontId="4" fillId="14" borderId="67" xfId="0" applyNumberFormat="1" applyFont="1" applyFill="1" applyBorder="1" applyAlignment="1">
      <alignment horizontal="center" vertical="center"/>
    </xf>
    <xf numFmtId="15" fontId="4" fillId="14" borderId="68" xfId="0" applyNumberFormat="1" applyFont="1" applyFill="1" applyBorder="1" applyAlignment="1">
      <alignment horizontal="center" vertical="center"/>
    </xf>
    <xf numFmtId="0" fontId="2" fillId="16" borderId="9" xfId="0" applyFont="1" applyFill="1" applyBorder="1" applyAlignment="1">
      <alignment horizontal="centerContinuous" vertical="center"/>
    </xf>
    <xf numFmtId="38" fontId="2" fillId="8" borderId="0" xfId="0" applyNumberFormat="1" applyFont="1" applyFill="1" applyAlignment="1">
      <alignment vertical="center"/>
    </xf>
    <xf numFmtId="38" fontId="2" fillId="8" borderId="35" xfId="0" applyNumberFormat="1" applyFont="1" applyFill="1" applyBorder="1" applyAlignment="1">
      <alignment vertical="center"/>
    </xf>
    <xf numFmtId="38" fontId="9" fillId="3" borderId="49" xfId="0" applyNumberFormat="1" applyFont="1" applyFill="1" applyBorder="1" applyAlignment="1">
      <alignment vertical="center"/>
    </xf>
    <xf numFmtId="38" fontId="9" fillId="3" borderId="50" xfId="0" applyNumberFormat="1" applyFont="1" applyFill="1" applyBorder="1" applyAlignment="1">
      <alignment vertical="center"/>
    </xf>
    <xf numFmtId="38" fontId="9" fillId="3" borderId="33" xfId="0" applyNumberFormat="1" applyFont="1" applyFill="1" applyBorder="1" applyAlignment="1">
      <alignment vertical="center"/>
    </xf>
    <xf numFmtId="38" fontId="2" fillId="3" borderId="3" xfId="0" applyNumberFormat="1" applyFont="1" applyFill="1" applyBorder="1" applyAlignment="1">
      <alignment vertical="center"/>
    </xf>
    <xf numFmtId="38" fontId="2" fillId="3" borderId="4" xfId="0" applyNumberFormat="1" applyFont="1" applyFill="1" applyBorder="1" applyAlignment="1">
      <alignment vertical="center"/>
    </xf>
    <xf numFmtId="38" fontId="2" fillId="3" borderId="5" xfId="0" applyNumberFormat="1" applyFont="1" applyFill="1" applyBorder="1" applyAlignment="1">
      <alignment vertical="center"/>
    </xf>
    <xf numFmtId="38" fontId="9" fillId="3" borderId="9" xfId="0" applyNumberFormat="1" applyFont="1" applyFill="1" applyBorder="1" applyAlignment="1">
      <alignment vertical="center"/>
    </xf>
    <xf numFmtId="38" fontId="9" fillId="3" borderId="0" xfId="0" applyNumberFormat="1" applyFont="1" applyFill="1" applyAlignment="1">
      <alignment vertical="center"/>
    </xf>
    <xf numFmtId="38" fontId="9" fillId="3" borderId="35" xfId="0" applyNumberFormat="1" applyFont="1" applyFill="1" applyBorder="1" applyAlignment="1">
      <alignment vertical="center"/>
    </xf>
    <xf numFmtId="38" fontId="2" fillId="3" borderId="58" xfId="0" applyNumberFormat="1" applyFont="1" applyFill="1" applyBorder="1" applyAlignment="1">
      <alignment vertical="center"/>
    </xf>
    <xf numFmtId="38" fontId="2" fillId="3" borderId="56" xfId="0" applyNumberFormat="1" applyFont="1" applyFill="1" applyBorder="1" applyAlignment="1">
      <alignment vertical="center"/>
    </xf>
    <xf numFmtId="0" fontId="43" fillId="19" borderId="18" xfId="0" applyFont="1" applyFill="1" applyBorder="1" applyAlignment="1">
      <alignment horizontal="center" vertical="center"/>
    </xf>
    <xf numFmtId="38" fontId="9" fillId="3" borderId="22" xfId="0" applyNumberFormat="1" applyFont="1" applyFill="1" applyBorder="1" applyAlignment="1">
      <alignment vertical="center"/>
    </xf>
    <xf numFmtId="38" fontId="9" fillId="3" borderId="21" xfId="0" applyNumberFormat="1" applyFont="1" applyFill="1" applyBorder="1" applyAlignment="1">
      <alignment vertical="center"/>
    </xf>
    <xf numFmtId="38" fontId="9" fillId="3" borderId="23" xfId="0" applyNumberFormat="1" applyFont="1" applyFill="1" applyBorder="1" applyAlignment="1">
      <alignment vertical="center"/>
    </xf>
    <xf numFmtId="38" fontId="45" fillId="3" borderId="0" xfId="0" applyNumberFormat="1" applyFont="1" applyFill="1" applyAlignment="1">
      <alignment horizontal="center" vertical="center"/>
    </xf>
    <xf numFmtId="0" fontId="10" fillId="18" borderId="46" xfId="0" applyFont="1" applyFill="1" applyBorder="1" applyAlignment="1">
      <alignment horizontal="centerContinuous" vertical="center"/>
    </xf>
    <xf numFmtId="38" fontId="4" fillId="3" borderId="41" xfId="0" applyNumberFormat="1" applyFont="1" applyFill="1" applyBorder="1" applyAlignment="1">
      <alignment vertical="center"/>
    </xf>
    <xf numFmtId="38" fontId="4" fillId="3" borderId="42" xfId="0" applyNumberFormat="1" applyFont="1" applyFill="1" applyBorder="1" applyAlignment="1">
      <alignment vertical="center"/>
    </xf>
    <xf numFmtId="38" fontId="4" fillId="3" borderId="43" xfId="0" applyNumberFormat="1" applyFont="1" applyFill="1" applyBorder="1" applyAlignment="1">
      <alignment vertical="center"/>
    </xf>
    <xf numFmtId="0" fontId="10" fillId="5" borderId="46" xfId="0" applyFont="1" applyFill="1" applyBorder="1" applyAlignment="1">
      <alignment horizontal="centerContinuous" vertical="center"/>
    </xf>
    <xf numFmtId="38" fontId="4" fillId="21" borderId="32" xfId="0" applyNumberFormat="1" applyFont="1" applyFill="1" applyBorder="1" applyAlignment="1">
      <alignment vertical="center"/>
    </xf>
    <xf numFmtId="38" fontId="4" fillId="21" borderId="47" xfId="0" applyNumberFormat="1" applyFont="1" applyFill="1" applyBorder="1" applyAlignment="1">
      <alignment vertical="center"/>
    </xf>
    <xf numFmtId="38" fontId="4" fillId="3" borderId="58" xfId="0" applyNumberFormat="1" applyFont="1" applyFill="1" applyBorder="1" applyAlignment="1">
      <alignment vertical="center"/>
    </xf>
    <xf numFmtId="38" fontId="4" fillId="3" borderId="18" xfId="0" applyNumberFormat="1" applyFont="1" applyFill="1" applyBorder="1" applyAlignment="1">
      <alignment vertical="center"/>
    </xf>
    <xf numFmtId="38" fontId="4" fillId="3" borderId="56" xfId="0" applyNumberFormat="1" applyFont="1" applyFill="1" applyBorder="1" applyAlignment="1">
      <alignment vertical="center"/>
    </xf>
    <xf numFmtId="0" fontId="34" fillId="3" borderId="0" xfId="0" applyFont="1" applyFill="1" applyAlignment="1">
      <alignment vertical="center"/>
    </xf>
    <xf numFmtId="0" fontId="9" fillId="22" borderId="46" xfId="0" applyFont="1" applyFill="1" applyBorder="1" applyAlignment="1">
      <alignment vertical="center"/>
    </xf>
    <xf numFmtId="0" fontId="9" fillId="22" borderId="32" xfId="0" applyFont="1" applyFill="1" applyBorder="1" applyAlignment="1">
      <alignment vertical="center"/>
    </xf>
    <xf numFmtId="0" fontId="9" fillId="22" borderId="47" xfId="0" applyFont="1" applyFill="1" applyBorder="1" applyAlignment="1">
      <alignment vertical="center"/>
    </xf>
    <xf numFmtId="0" fontId="9" fillId="22" borderId="38" xfId="0" applyFont="1" applyFill="1" applyBorder="1" applyAlignment="1">
      <alignment vertical="center"/>
    </xf>
    <xf numFmtId="0" fontId="9" fillId="22" borderId="39" xfId="0" applyFont="1" applyFill="1" applyBorder="1" applyAlignment="1">
      <alignment vertical="center"/>
    </xf>
    <xf numFmtId="0" fontId="10" fillId="5" borderId="46" xfId="0" applyFont="1" applyFill="1" applyBorder="1" applyAlignment="1">
      <alignment horizontal="center" vertical="center"/>
    </xf>
    <xf numFmtId="0" fontId="9" fillId="16" borderId="9" xfId="0" applyFont="1" applyFill="1" applyBorder="1" applyAlignment="1">
      <alignment horizontal="centerContinuous" vertical="center"/>
    </xf>
    <xf numFmtId="0" fontId="34" fillId="7" borderId="49" xfId="0" applyFont="1" applyFill="1" applyBorder="1" applyAlignment="1">
      <alignment vertical="center"/>
    </xf>
    <xf numFmtId="0" fontId="34" fillId="7" borderId="0" xfId="0" applyFont="1" applyFill="1" applyAlignment="1">
      <alignment vertical="center"/>
    </xf>
    <xf numFmtId="0" fontId="34" fillId="7" borderId="35" xfId="0" applyFont="1" applyFill="1" applyBorder="1" applyAlignment="1">
      <alignment vertical="center"/>
    </xf>
    <xf numFmtId="38" fontId="2" fillId="3" borderId="18" xfId="0" applyNumberFormat="1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vertical="center"/>
    </xf>
    <xf numFmtId="0" fontId="9" fillId="3" borderId="50" xfId="0" applyFont="1" applyFill="1" applyBorder="1" applyAlignment="1">
      <alignment vertical="center"/>
    </xf>
    <xf numFmtId="0" fontId="9" fillId="3" borderId="33" xfId="0" applyFont="1" applyFill="1" applyBorder="1" applyAlignment="1">
      <alignment vertical="center"/>
    </xf>
    <xf numFmtId="0" fontId="34" fillId="3" borderId="0" xfId="0" quotePrefix="1" applyFont="1" applyFill="1" applyAlignment="1">
      <alignment horizontal="center" vertical="center"/>
    </xf>
    <xf numFmtId="40" fontId="9" fillId="16" borderId="9" xfId="0" applyNumberFormat="1" applyFont="1" applyFill="1" applyBorder="1" applyAlignment="1">
      <alignment horizontal="centerContinuous" vertical="center"/>
    </xf>
    <xf numFmtId="0" fontId="9" fillId="3" borderId="9" xfId="0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0" fontId="9" fillId="3" borderId="35" xfId="0" applyFont="1" applyFill="1" applyBorder="1" applyAlignment="1">
      <alignment vertical="center"/>
    </xf>
    <xf numFmtId="0" fontId="9" fillId="3" borderId="22" xfId="0" applyFont="1" applyFill="1" applyBorder="1" applyAlignment="1">
      <alignment vertical="center"/>
    </xf>
    <xf numFmtId="0" fontId="9" fillId="3" borderId="21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34" fillId="7" borderId="9" xfId="0" quotePrefix="1" applyFont="1" applyFill="1" applyBorder="1" applyAlignment="1">
      <alignment horizontal="right" vertical="center"/>
    </xf>
    <xf numFmtId="0" fontId="34" fillId="7" borderId="0" xfId="0" quotePrefix="1" applyFont="1" applyFill="1" applyAlignment="1">
      <alignment horizontal="right" vertical="center"/>
    </xf>
    <xf numFmtId="0" fontId="34" fillId="7" borderId="35" xfId="0" quotePrefix="1" applyFont="1" applyFill="1" applyBorder="1" applyAlignment="1">
      <alignment horizontal="right" vertical="center"/>
    </xf>
    <xf numFmtId="0" fontId="9" fillId="7" borderId="9" xfId="0" quotePrefix="1" applyFont="1" applyFill="1" applyBorder="1" applyAlignment="1">
      <alignment horizontal="right" vertical="center"/>
    </xf>
    <xf numFmtId="0" fontId="9" fillId="7" borderId="0" xfId="0" quotePrefix="1" applyFont="1" applyFill="1" applyAlignment="1">
      <alignment horizontal="right" vertical="center"/>
    </xf>
    <xf numFmtId="0" fontId="9" fillId="7" borderId="35" xfId="0" quotePrefix="1" applyFont="1" applyFill="1" applyBorder="1" applyAlignment="1">
      <alignment horizontal="right" vertical="center"/>
    </xf>
    <xf numFmtId="38" fontId="4" fillId="5" borderId="42" xfId="0" applyNumberFormat="1" applyFont="1" applyFill="1" applyBorder="1" applyAlignment="1">
      <alignment horizontal="center" vertical="center"/>
    </xf>
    <xf numFmtId="0" fontId="34" fillId="7" borderId="9" xfId="0" applyFont="1" applyFill="1" applyBorder="1" applyAlignment="1">
      <alignment vertical="center"/>
    </xf>
    <xf numFmtId="0" fontId="9" fillId="7" borderId="9" xfId="0" applyFont="1" applyFill="1" applyBorder="1" applyAlignment="1">
      <alignment vertical="center"/>
    </xf>
    <xf numFmtId="0" fontId="9" fillId="7" borderId="0" xfId="0" applyFont="1" applyFill="1" applyAlignment="1">
      <alignment vertical="center"/>
    </xf>
    <xf numFmtId="0" fontId="9" fillId="7" borderId="35" xfId="0" applyFont="1" applyFill="1" applyBorder="1" applyAlignment="1">
      <alignment vertical="center"/>
    </xf>
    <xf numFmtId="0" fontId="30" fillId="3" borderId="0" xfId="0" quotePrefix="1" applyFont="1" applyFill="1" applyAlignment="1">
      <alignment horizontal="center" vertical="center"/>
    </xf>
    <xf numFmtId="0" fontId="9" fillId="16" borderId="29" xfId="0" applyFont="1" applyFill="1" applyBorder="1" applyAlignment="1">
      <alignment horizontal="centerContinuous" vertical="center"/>
    </xf>
    <xf numFmtId="0" fontId="34" fillId="7" borderId="22" xfId="0" applyFont="1" applyFill="1" applyBorder="1" applyAlignment="1">
      <alignment horizontal="right" vertical="center"/>
    </xf>
    <xf numFmtId="0" fontId="34" fillId="7" borderId="21" xfId="0" applyFont="1" applyFill="1" applyBorder="1" applyAlignment="1">
      <alignment horizontal="right" vertical="center"/>
    </xf>
    <xf numFmtId="0" fontId="34" fillId="7" borderId="23" xfId="0" applyFont="1" applyFill="1" applyBorder="1" applyAlignment="1">
      <alignment horizontal="right" vertical="center"/>
    </xf>
    <xf numFmtId="40" fontId="2" fillId="21" borderId="42" xfId="0" applyNumberFormat="1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18" borderId="46" xfId="0" applyFont="1" applyFill="1" applyBorder="1" applyAlignment="1">
      <alignment horizontal="centerContinuous" vertical="center"/>
    </xf>
    <xf numFmtId="0" fontId="30" fillId="3" borderId="49" xfId="0" quotePrefix="1" applyFont="1" applyFill="1" applyBorder="1" applyAlignment="1">
      <alignment horizontal="center" vertical="center"/>
    </xf>
    <xf numFmtId="180" fontId="9" fillId="3" borderId="33" xfId="0" applyNumberFormat="1" applyFont="1" applyFill="1" applyBorder="1" applyAlignment="1">
      <alignment horizontal="center" vertical="center"/>
    </xf>
    <xf numFmtId="0" fontId="4" fillId="5" borderId="46" xfId="0" applyFont="1" applyFill="1" applyBorder="1" applyAlignment="1">
      <alignment horizontal="center" vertical="center"/>
    </xf>
    <xf numFmtId="40" fontId="4" fillId="14" borderId="47" xfId="0" applyNumberFormat="1" applyFont="1" applyFill="1" applyBorder="1" applyAlignment="1">
      <alignment horizontal="center" vertical="center"/>
    </xf>
    <xf numFmtId="40" fontId="2" fillId="8" borderId="18" xfId="0" applyNumberFormat="1" applyFont="1" applyFill="1" applyBorder="1" applyAlignment="1">
      <alignment vertical="center"/>
    </xf>
    <xf numFmtId="0" fontId="4" fillId="7" borderId="49" xfId="0" applyFont="1" applyFill="1" applyBorder="1" applyAlignment="1">
      <alignment vertical="center"/>
    </xf>
    <xf numFmtId="0" fontId="42" fillId="7" borderId="50" xfId="0" applyFont="1" applyFill="1" applyBorder="1" applyAlignment="1">
      <alignment horizontal="right" vertical="center"/>
    </xf>
    <xf numFmtId="0" fontId="42" fillId="7" borderId="33" xfId="0" applyFont="1" applyFill="1" applyBorder="1" applyAlignment="1">
      <alignment horizontal="right" vertical="center"/>
    </xf>
    <xf numFmtId="0" fontId="46" fillId="3" borderId="9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35" xfId="0" applyFont="1" applyFill="1" applyBorder="1" applyAlignment="1">
      <alignment vertical="center"/>
    </xf>
    <xf numFmtId="40" fontId="4" fillId="21" borderId="46" xfId="0" applyNumberFormat="1" applyFont="1" applyFill="1" applyBorder="1" applyAlignment="1">
      <alignment vertical="center"/>
    </xf>
    <xf numFmtId="40" fontId="4" fillId="21" borderId="47" xfId="0" applyNumberFormat="1" applyFont="1" applyFill="1" applyBorder="1" applyAlignment="1">
      <alignment vertical="center"/>
    </xf>
    <xf numFmtId="40" fontId="4" fillId="21" borderId="42" xfId="0" applyNumberFormat="1" applyFont="1" applyFill="1" applyBorder="1" applyAlignment="1">
      <alignment vertical="center"/>
    </xf>
    <xf numFmtId="0" fontId="47" fillId="23" borderId="48" xfId="0" applyFont="1" applyFill="1" applyBorder="1" applyAlignment="1">
      <alignment horizontal="center" vertical="center"/>
    </xf>
    <xf numFmtId="0" fontId="2" fillId="24" borderId="0" xfId="0" applyFont="1" applyFill="1" applyAlignment="1">
      <alignment vertical="center"/>
    </xf>
    <xf numFmtId="0" fontId="2" fillId="24" borderId="35" xfId="0" applyFont="1" applyFill="1" applyBorder="1" applyAlignment="1">
      <alignment vertical="center"/>
    </xf>
    <xf numFmtId="0" fontId="2" fillId="23" borderId="18" xfId="0" applyFont="1" applyFill="1" applyBorder="1" applyAlignment="1">
      <alignment vertical="center"/>
    </xf>
    <xf numFmtId="0" fontId="48" fillId="3" borderId="48" xfId="0" quotePrefix="1" applyFont="1" applyFill="1" applyBorder="1" applyAlignment="1">
      <alignment horizontal="center" vertical="center"/>
    </xf>
    <xf numFmtId="0" fontId="48" fillId="3" borderId="18" xfId="0" quotePrefix="1" applyFont="1" applyFill="1" applyBorder="1" applyAlignment="1">
      <alignment horizontal="center" vertical="center"/>
    </xf>
    <xf numFmtId="0" fontId="2" fillId="23" borderId="29" xfId="0" applyFont="1" applyFill="1" applyBorder="1" applyAlignment="1">
      <alignment vertical="center"/>
    </xf>
    <xf numFmtId="0" fontId="48" fillId="3" borderId="29" xfId="0" quotePrefix="1" applyFont="1" applyFill="1" applyBorder="1" applyAlignment="1">
      <alignment horizontal="center" vertical="center"/>
    </xf>
    <xf numFmtId="0" fontId="2" fillId="24" borderId="9" xfId="0" applyFont="1" applyFill="1" applyBorder="1" applyAlignment="1">
      <alignment vertical="center"/>
    </xf>
    <xf numFmtId="0" fontId="10" fillId="5" borderId="42" xfId="0" applyFont="1" applyFill="1" applyBorder="1" applyAlignment="1">
      <alignment horizontal="centerContinuous" vertical="center"/>
    </xf>
    <xf numFmtId="0" fontId="9" fillId="16" borderId="49" xfId="0" applyFont="1" applyFill="1" applyBorder="1" applyAlignment="1">
      <alignment horizontal="centerContinuous" vertical="center"/>
    </xf>
    <xf numFmtId="40" fontId="2" fillId="8" borderId="48" xfId="0" applyNumberFormat="1" applyFont="1" applyFill="1" applyBorder="1" applyAlignment="1">
      <alignment vertical="center"/>
    </xf>
    <xf numFmtId="0" fontId="34" fillId="3" borderId="48" xfId="0" quotePrefix="1" applyFont="1" applyFill="1" applyBorder="1" applyAlignment="1">
      <alignment horizontal="center" vertical="center"/>
    </xf>
    <xf numFmtId="0" fontId="34" fillId="3" borderId="18" xfId="0" applyFont="1" applyFill="1" applyBorder="1" applyAlignment="1">
      <alignment horizontal="center" vertical="center"/>
    </xf>
    <xf numFmtId="0" fontId="2" fillId="16" borderId="18" xfId="0" applyFont="1" applyFill="1" applyBorder="1" applyAlignment="1">
      <alignment horizontal="centerContinuous" vertical="center"/>
    </xf>
    <xf numFmtId="38" fontId="2" fillId="3" borderId="35" xfId="0" applyNumberFormat="1" applyFont="1" applyFill="1" applyBorder="1" applyAlignment="1">
      <alignment vertical="center"/>
    </xf>
    <xf numFmtId="0" fontId="49" fillId="25" borderId="48" xfId="0" applyFont="1" applyFill="1" applyBorder="1" applyAlignment="1">
      <alignment horizontal="center" vertical="center"/>
    </xf>
    <xf numFmtId="0" fontId="45" fillId="25" borderId="18" xfId="0" applyFont="1" applyFill="1" applyBorder="1" applyAlignment="1">
      <alignment horizontal="center" vertical="center"/>
    </xf>
    <xf numFmtId="38" fontId="45" fillId="25" borderId="18" xfId="0" applyNumberFormat="1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center" vertical="center"/>
    </xf>
    <xf numFmtId="0" fontId="34" fillId="3" borderId="18" xfId="0" quotePrefix="1" applyFont="1" applyFill="1" applyBorder="1" applyAlignment="1">
      <alignment horizontal="center" vertical="center"/>
    </xf>
    <xf numFmtId="0" fontId="49" fillId="26" borderId="48" xfId="0" quotePrefix="1" applyFont="1" applyFill="1" applyBorder="1" applyAlignment="1">
      <alignment horizontal="center" vertical="center"/>
    </xf>
    <xf numFmtId="0" fontId="45" fillId="26" borderId="18" xfId="0" applyFont="1" applyFill="1" applyBorder="1" applyAlignment="1">
      <alignment horizontal="center" vertical="center"/>
    </xf>
    <xf numFmtId="38" fontId="45" fillId="26" borderId="18" xfId="0" applyNumberFormat="1" applyFont="1" applyFill="1" applyBorder="1" applyAlignment="1">
      <alignment horizontal="center" vertical="center"/>
    </xf>
    <xf numFmtId="38" fontId="45" fillId="26" borderId="29" xfId="0" applyNumberFormat="1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40" fontId="2" fillId="8" borderId="71" xfId="0" applyNumberFormat="1" applyFont="1" applyFill="1" applyBorder="1" applyAlignment="1">
      <alignment vertical="center"/>
    </xf>
    <xf numFmtId="40" fontId="2" fillId="8" borderId="72" xfId="0" applyNumberFormat="1" applyFont="1" applyFill="1" applyBorder="1" applyAlignment="1">
      <alignment vertical="center"/>
    </xf>
    <xf numFmtId="0" fontId="4" fillId="3" borderId="50" xfId="0" applyFont="1" applyFill="1" applyBorder="1" applyAlignment="1">
      <alignment horizontal="centerContinuous" vertical="center"/>
    </xf>
    <xf numFmtId="0" fontId="50" fillId="3" borderId="0" xfId="0" applyFont="1" applyFill="1" applyAlignment="1">
      <alignment horizontal="right" wrapText="1"/>
    </xf>
    <xf numFmtId="0" fontId="51" fillId="3" borderId="0" xfId="0" applyFont="1" applyFill="1" applyAlignment="1">
      <alignment horizontal="right" wrapText="1"/>
    </xf>
    <xf numFmtId="40" fontId="57" fillId="3" borderId="0" xfId="0" applyNumberFormat="1" applyFont="1" applyFill="1" applyAlignment="1">
      <alignment vertical="center"/>
    </xf>
    <xf numFmtId="40" fontId="4" fillId="5" borderId="48" xfId="0" applyNumberFormat="1" applyFont="1" applyFill="1" applyBorder="1" applyAlignment="1">
      <alignment vertical="center"/>
    </xf>
    <xf numFmtId="40" fontId="2" fillId="21" borderId="49" xfId="0" applyNumberFormat="1" applyFont="1" applyFill="1" applyBorder="1" applyAlignment="1">
      <alignment vertical="center"/>
    </xf>
    <xf numFmtId="40" fontId="2" fillId="21" borderId="33" xfId="0" applyNumberFormat="1" applyFont="1" applyFill="1" applyBorder="1" applyAlignment="1">
      <alignment vertical="center"/>
    </xf>
    <xf numFmtId="0" fontId="4" fillId="5" borderId="50" xfId="0" applyFont="1" applyFill="1" applyBorder="1" applyAlignment="1">
      <alignment horizontal="center" wrapText="1"/>
    </xf>
    <xf numFmtId="0" fontId="2" fillId="5" borderId="48" xfId="0" applyFont="1" applyFill="1" applyBorder="1" applyAlignment="1">
      <alignment horizontal="center" wrapText="1"/>
    </xf>
    <xf numFmtId="40" fontId="4" fillId="5" borderId="18" xfId="0" applyNumberFormat="1" applyFont="1" applyFill="1" applyBorder="1" applyAlignment="1">
      <alignment vertical="center"/>
    </xf>
    <xf numFmtId="40" fontId="2" fillId="21" borderId="9" xfId="0" applyNumberFormat="1" applyFont="1" applyFill="1" applyBorder="1" applyAlignment="1">
      <alignment vertical="center"/>
    </xf>
    <xf numFmtId="40" fontId="2" fillId="21" borderId="35" xfId="0" applyNumberFormat="1" applyFont="1" applyFill="1" applyBorder="1" applyAlignment="1">
      <alignment vertical="center"/>
    </xf>
    <xf numFmtId="0" fontId="4" fillId="5" borderId="18" xfId="0" applyFont="1" applyFill="1" applyBorder="1" applyAlignment="1">
      <alignment horizontal="center" wrapText="1"/>
    </xf>
    <xf numFmtId="2" fontId="4" fillId="34" borderId="18" xfId="0" applyNumberFormat="1" applyFont="1" applyFill="1" applyBorder="1" applyAlignment="1">
      <alignment horizontal="center" wrapText="1"/>
    </xf>
    <xf numFmtId="40" fontId="4" fillId="5" borderId="29" xfId="0" applyNumberFormat="1" applyFont="1" applyFill="1" applyBorder="1" applyAlignment="1">
      <alignment vertical="center"/>
    </xf>
    <xf numFmtId="40" fontId="2" fillId="21" borderId="22" xfId="0" applyNumberFormat="1" applyFont="1" applyFill="1" applyBorder="1" applyAlignment="1">
      <alignment vertical="center"/>
    </xf>
    <xf numFmtId="40" fontId="2" fillId="21" borderId="23" xfId="0" applyNumberFormat="1" applyFont="1" applyFill="1" applyBorder="1" applyAlignment="1">
      <alignment vertical="center"/>
    </xf>
    <xf numFmtId="0" fontId="4" fillId="5" borderId="29" xfId="0" applyFont="1" applyFill="1" applyBorder="1" applyAlignment="1">
      <alignment horizontal="center" wrapText="1"/>
    </xf>
    <xf numFmtId="2" fontId="4" fillId="5" borderId="29" xfId="0" applyNumberFormat="1" applyFont="1" applyFill="1" applyBorder="1" applyAlignment="1">
      <alignment horizontal="center" wrapText="1"/>
    </xf>
    <xf numFmtId="40" fontId="2" fillId="16" borderId="18" xfId="0" applyNumberFormat="1" applyFont="1" applyFill="1" applyBorder="1" applyAlignment="1">
      <alignment vertical="center"/>
    </xf>
    <xf numFmtId="0" fontId="2" fillId="3" borderId="0" xfId="0" applyFont="1" applyFill="1" applyAlignment="1">
      <alignment horizontal="center" wrapText="1"/>
    </xf>
    <xf numFmtId="0" fontId="2" fillId="3" borderId="18" xfId="0" applyFont="1" applyFill="1" applyBorder="1" applyAlignment="1">
      <alignment horizontal="center" wrapText="1"/>
    </xf>
    <xf numFmtId="40" fontId="2" fillId="21" borderId="46" xfId="0" applyNumberFormat="1" applyFont="1" applyFill="1" applyBorder="1" applyAlignment="1">
      <alignment vertical="center"/>
    </xf>
    <xf numFmtId="40" fontId="2" fillId="21" borderId="47" xfId="0" applyNumberFormat="1" applyFont="1" applyFill="1" applyBorder="1" applyAlignment="1">
      <alignment vertical="center"/>
    </xf>
    <xf numFmtId="1" fontId="4" fillId="5" borderId="32" xfId="0" applyNumberFormat="1" applyFont="1" applyFill="1" applyBorder="1" applyAlignment="1">
      <alignment horizontal="center" wrapText="1"/>
    </xf>
    <xf numFmtId="0" fontId="2" fillId="5" borderId="42" xfId="0" applyFont="1" applyFill="1" applyBorder="1" applyAlignment="1">
      <alignment horizontal="center" wrapText="1"/>
    </xf>
    <xf numFmtId="0" fontId="4" fillId="5" borderId="32" xfId="0" applyFont="1" applyFill="1" applyBorder="1" applyAlignment="1">
      <alignment horizontal="center" wrapText="1"/>
    </xf>
    <xf numFmtId="38" fontId="2" fillId="3" borderId="0" xfId="0" applyNumberFormat="1" applyFont="1" applyFill="1" applyAlignment="1">
      <alignment horizontal="center" wrapText="1"/>
    </xf>
    <xf numFmtId="40" fontId="57" fillId="3" borderId="0" xfId="0" applyNumberFormat="1" applyFont="1" applyFill="1" applyAlignment="1">
      <alignment horizontal="center" vertical="center"/>
    </xf>
    <xf numFmtId="10" fontId="2" fillId="3" borderId="0" xfId="0" applyNumberFormat="1" applyFont="1" applyFill="1" applyAlignment="1">
      <alignment horizontal="center" wrapText="1"/>
    </xf>
    <xf numFmtId="171" fontId="2" fillId="3" borderId="0" xfId="0" applyNumberFormat="1" applyFont="1" applyFill="1" applyAlignment="1">
      <alignment horizontal="center" wrapText="1"/>
    </xf>
    <xf numFmtId="40" fontId="2" fillId="3" borderId="0" xfId="0" applyNumberFormat="1" applyFont="1" applyFill="1" applyAlignment="1">
      <alignment horizontal="center" wrapText="1"/>
    </xf>
    <xf numFmtId="2" fontId="2" fillId="3" borderId="0" xfId="0" applyNumberFormat="1" applyFont="1" applyFill="1" applyAlignment="1">
      <alignment horizontal="center" wrapText="1"/>
    </xf>
    <xf numFmtId="40" fontId="2" fillId="16" borderId="29" xfId="0" applyNumberFormat="1" applyFont="1" applyFill="1" applyBorder="1" applyAlignment="1">
      <alignment vertical="center"/>
    </xf>
    <xf numFmtId="2" fontId="2" fillId="3" borderId="29" xfId="0" applyNumberFormat="1" applyFont="1" applyFill="1" applyBorder="1" applyAlignment="1">
      <alignment horizontal="center" wrapText="1"/>
    </xf>
    <xf numFmtId="0" fontId="2" fillId="3" borderId="29" xfId="0" applyFont="1" applyFill="1" applyBorder="1" applyAlignment="1">
      <alignment horizontal="center" wrapText="1"/>
    </xf>
    <xf numFmtId="0" fontId="4" fillId="33" borderId="0" xfId="0" applyFont="1" applyFill="1" applyAlignment="1">
      <alignment horizontal="center" wrapText="1"/>
    </xf>
    <xf numFmtId="0" fontId="2" fillId="33" borderId="0" xfId="0" applyFont="1" applyFill="1" applyAlignment="1">
      <alignment horizontal="center" wrapText="1"/>
    </xf>
    <xf numFmtId="40" fontId="2" fillId="33" borderId="0" xfId="0" applyNumberFormat="1" applyFont="1" applyFill="1" applyAlignment="1">
      <alignment horizontal="center" wrapText="1"/>
    </xf>
    <xf numFmtId="2" fontId="2" fillId="33" borderId="0" xfId="0" applyNumberFormat="1" applyFont="1" applyFill="1" applyAlignment="1">
      <alignment horizontal="center" wrapText="1"/>
    </xf>
    <xf numFmtId="40" fontId="4" fillId="35" borderId="36" xfId="0" applyNumberFormat="1" applyFont="1" applyFill="1" applyBorder="1" applyAlignment="1">
      <alignment vertical="center"/>
    </xf>
    <xf numFmtId="38" fontId="4" fillId="3" borderId="30" xfId="0" applyNumberFormat="1" applyFont="1" applyFill="1" applyBorder="1" applyAlignment="1">
      <alignment horizontal="left" vertical="center"/>
    </xf>
    <xf numFmtId="2" fontId="2" fillId="36" borderId="0" xfId="0" applyNumberFormat="1" applyFont="1" applyFill="1" applyAlignment="1">
      <alignment horizontal="center" wrapText="1"/>
    </xf>
    <xf numFmtId="40" fontId="58" fillId="3" borderId="0" xfId="0" applyNumberFormat="1" applyFont="1" applyFill="1" applyAlignment="1">
      <alignment vertical="center"/>
    </xf>
    <xf numFmtId="38" fontId="4" fillId="3" borderId="30" xfId="0" applyNumberFormat="1" applyFont="1" applyFill="1" applyBorder="1" applyAlignment="1">
      <alignment horizontal="center" vertical="center"/>
    </xf>
    <xf numFmtId="0" fontId="2" fillId="33" borderId="0" xfId="0" applyFont="1" applyFill="1" applyAlignment="1">
      <alignment vertical="top" wrapText="1"/>
    </xf>
    <xf numFmtId="40" fontId="59" fillId="3" borderId="0" xfId="0" applyNumberFormat="1" applyFont="1" applyFill="1" applyAlignment="1">
      <alignment vertical="center"/>
    </xf>
    <xf numFmtId="40" fontId="59" fillId="36" borderId="0" xfId="0" applyNumberFormat="1" applyFont="1" applyFill="1" applyAlignment="1">
      <alignment vertical="center"/>
    </xf>
    <xf numFmtId="6" fontId="2" fillId="33" borderId="30" xfId="0" applyNumberFormat="1" applyFont="1" applyFill="1" applyBorder="1" applyAlignment="1">
      <alignment vertical="center"/>
    </xf>
    <xf numFmtId="40" fontId="59" fillId="3" borderId="0" xfId="0" applyNumberFormat="1" applyFont="1" applyFill="1" applyAlignment="1">
      <alignment horizontal="center" vertical="center"/>
    </xf>
    <xf numFmtId="40" fontId="2" fillId="33" borderId="0" xfId="0" applyNumberFormat="1" applyFont="1" applyFill="1" applyAlignment="1">
      <alignment vertical="center"/>
    </xf>
    <xf numFmtId="38" fontId="2" fillId="33" borderId="0" xfId="0" applyNumberFormat="1" applyFont="1" applyFill="1" applyAlignment="1">
      <alignment horizontal="center" vertical="center"/>
    </xf>
    <xf numFmtId="38" fontId="2" fillId="33" borderId="0" xfId="0" applyNumberFormat="1" applyFont="1" applyFill="1" applyAlignment="1">
      <alignment vertical="center"/>
    </xf>
    <xf numFmtId="6" fontId="2" fillId="33" borderId="0" xfId="0" applyNumberFormat="1" applyFont="1" applyFill="1" applyAlignment="1">
      <alignment vertical="center"/>
    </xf>
    <xf numFmtId="40" fontId="60" fillId="33" borderId="0" xfId="0" applyNumberFormat="1" applyFont="1" applyFill="1" applyAlignment="1">
      <alignment vertical="center"/>
    </xf>
    <xf numFmtId="0" fontId="2" fillId="33" borderId="0" xfId="0" applyFont="1" applyFill="1" applyAlignment="1">
      <alignment horizontal="center" vertical="top" wrapText="1"/>
    </xf>
    <xf numFmtId="38" fontId="59" fillId="3" borderId="0" xfId="0" applyNumberFormat="1" applyFont="1" applyFill="1" applyAlignment="1">
      <alignment horizontal="center" vertical="center"/>
    </xf>
    <xf numFmtId="187" fontId="60" fillId="3" borderId="0" xfId="0" applyNumberFormat="1" applyFont="1" applyFill="1" applyAlignment="1">
      <alignment vertical="center"/>
    </xf>
    <xf numFmtId="40" fontId="60" fillId="3" borderId="0" xfId="0" applyNumberFormat="1" applyFont="1" applyFill="1" applyAlignment="1">
      <alignment vertical="center"/>
    </xf>
    <xf numFmtId="38" fontId="2" fillId="3" borderId="0" xfId="0" applyNumberFormat="1" applyFont="1" applyFill="1" applyAlignment="1">
      <alignment horizontal="left" vertical="center"/>
    </xf>
    <xf numFmtId="38" fontId="2" fillId="3" borderId="0" xfId="0" applyNumberFormat="1" applyFont="1" applyFill="1" applyAlignment="1">
      <alignment horizontal="center" vertical="center"/>
    </xf>
    <xf numFmtId="9" fontId="2" fillId="3" borderId="0" xfId="6" applyFont="1" applyFill="1" applyAlignment="1">
      <alignment horizontal="right" vertical="center"/>
    </xf>
    <xf numFmtId="9" fontId="2" fillId="3" borderId="0" xfId="6" applyFont="1" applyFill="1" applyAlignment="1">
      <alignment horizontal="left" vertical="center"/>
    </xf>
    <xf numFmtId="9" fontId="2" fillId="3" borderId="0" xfId="6" applyFont="1" applyFill="1" applyAlignment="1">
      <alignment vertical="center"/>
    </xf>
    <xf numFmtId="40" fontId="2" fillId="3" borderId="0" xfId="0" applyNumberFormat="1" applyFont="1" applyFill="1" applyAlignment="1">
      <alignment horizontal="left" vertical="center"/>
    </xf>
    <xf numFmtId="181" fontId="4" fillId="33" borderId="0" xfId="0" applyNumberFormat="1" applyFont="1" applyFill="1" applyAlignment="1">
      <alignment horizontal="center" vertical="center"/>
    </xf>
    <xf numFmtId="3" fontId="52" fillId="33" borderId="0" xfId="0" applyNumberFormat="1" applyFont="1" applyFill="1" applyAlignment="1">
      <alignment horizontal="center" wrapText="1"/>
    </xf>
    <xf numFmtId="9" fontId="52" fillId="33" borderId="0" xfId="6" applyFont="1" applyFill="1" applyAlignment="1">
      <alignment horizontal="center" wrapText="1"/>
    </xf>
    <xf numFmtId="40" fontId="2" fillId="33" borderId="0" xfId="0" applyNumberFormat="1" applyFont="1" applyFill="1" applyAlignment="1">
      <alignment horizontal="center" vertical="center"/>
    </xf>
    <xf numFmtId="38" fontId="2" fillId="37" borderId="30" xfId="0" applyNumberFormat="1" applyFont="1" applyFill="1" applyBorder="1" applyAlignment="1">
      <alignment horizontal="right"/>
    </xf>
    <xf numFmtId="38" fontId="2" fillId="37" borderId="52" xfId="0" applyNumberFormat="1" applyFont="1" applyFill="1" applyBorder="1" applyAlignment="1">
      <alignment horizontal="right"/>
    </xf>
    <xf numFmtId="38" fontId="2" fillId="38" borderId="30" xfId="0" applyNumberFormat="1" applyFont="1" applyFill="1" applyBorder="1" applyAlignment="1">
      <alignment horizontal="right"/>
    </xf>
    <xf numFmtId="38" fontId="2" fillId="38" borderId="52" xfId="0" applyNumberFormat="1" applyFont="1" applyFill="1" applyBorder="1" applyAlignment="1">
      <alignment horizontal="right"/>
    </xf>
    <xf numFmtId="2" fontId="5" fillId="3" borderId="0" xfId="0" applyNumberFormat="1" applyFont="1" applyFill="1"/>
    <xf numFmtId="38" fontId="2" fillId="37" borderId="30" xfId="0" applyNumberFormat="1" applyFont="1" applyFill="1" applyBorder="1"/>
    <xf numFmtId="38" fontId="2" fillId="37" borderId="52" xfId="0" applyNumberFormat="1" applyFont="1" applyFill="1" applyBorder="1"/>
    <xf numFmtId="3" fontId="2" fillId="37" borderId="30" xfId="0" applyNumberFormat="1" applyFont="1" applyFill="1" applyBorder="1" applyAlignment="1">
      <alignment horizontal="center"/>
    </xf>
    <xf numFmtId="3" fontId="2" fillId="37" borderId="52" xfId="0" applyNumberFormat="1" applyFont="1" applyFill="1" applyBorder="1" applyAlignment="1">
      <alignment horizontal="center"/>
    </xf>
    <xf numFmtId="38" fontId="2" fillId="37" borderId="52" xfId="0" applyNumberFormat="1" applyFont="1" applyFill="1" applyBorder="1" applyAlignment="1">
      <alignment horizontal="center"/>
    </xf>
    <xf numFmtId="38" fontId="5" fillId="37" borderId="30" xfId="0" applyNumberFormat="1" applyFont="1" applyFill="1" applyBorder="1" applyAlignment="1">
      <alignment horizontal="center"/>
    </xf>
    <xf numFmtId="38" fontId="5" fillId="34" borderId="30" xfId="0" applyNumberFormat="1" applyFont="1" applyFill="1" applyBorder="1" applyAlignment="1">
      <alignment horizontal="center"/>
    </xf>
    <xf numFmtId="38" fontId="2" fillId="37" borderId="30" xfId="0" applyNumberFormat="1" applyFont="1" applyFill="1" applyBorder="1" applyAlignment="1">
      <alignment horizontal="center"/>
    </xf>
    <xf numFmtId="188" fontId="10" fillId="3" borderId="0" xfId="0" applyNumberFormat="1" applyFont="1" applyFill="1" applyAlignment="1" applyProtection="1">
      <alignment vertical="center"/>
      <protection locked="0"/>
    </xf>
    <xf numFmtId="10" fontId="2" fillId="3" borderId="42" xfId="0" applyNumberFormat="1" applyFont="1" applyFill="1" applyBorder="1"/>
    <xf numFmtId="0" fontId="62" fillId="3" borderId="0" xfId="0" applyFont="1" applyFill="1" applyProtection="1">
      <protection locked="0"/>
    </xf>
    <xf numFmtId="0" fontId="8" fillId="43" borderId="0" xfId="0" applyFont="1" applyFill="1" applyProtection="1">
      <protection locked="0"/>
    </xf>
    <xf numFmtId="0" fontId="3" fillId="44" borderId="31" xfId="0" applyFont="1" applyFill="1" applyBorder="1" applyProtection="1">
      <protection locked="0"/>
    </xf>
    <xf numFmtId="0" fontId="2" fillId="44" borderId="30" xfId="0" applyFont="1" applyFill="1" applyBorder="1" applyAlignment="1" applyProtection="1">
      <alignment horizontal="center"/>
      <protection locked="0"/>
    </xf>
    <xf numFmtId="0" fontId="2" fillId="44" borderId="31" xfId="0" applyFont="1" applyFill="1" applyBorder="1" applyAlignment="1" applyProtection="1">
      <alignment horizontal="center" vertical="center"/>
      <protection locked="0"/>
    </xf>
    <xf numFmtId="0" fontId="57" fillId="3" borderId="9" xfId="0" applyFont="1" applyFill="1" applyBorder="1"/>
    <xf numFmtId="0" fontId="2" fillId="3" borderId="9" xfId="0" applyFont="1" applyFill="1" applyBorder="1" applyAlignment="1">
      <alignment horizontal="left" vertical="center"/>
    </xf>
    <xf numFmtId="0" fontId="4" fillId="3" borderId="49" xfId="0" applyFont="1" applyFill="1" applyBorder="1" applyAlignment="1">
      <alignment horizontal="left"/>
    </xf>
    <xf numFmtId="0" fontId="4" fillId="3" borderId="49" xfId="0" applyFont="1" applyFill="1" applyBorder="1"/>
    <xf numFmtId="0" fontId="4" fillId="3" borderId="46" xfId="0" applyFont="1" applyFill="1" applyBorder="1"/>
    <xf numFmtId="0" fontId="4" fillId="3" borderId="0" xfId="0" applyFont="1" applyFill="1" applyAlignment="1">
      <alignment horizontal="center"/>
    </xf>
    <xf numFmtId="0" fontId="4" fillId="3" borderId="46" xfId="0" applyFont="1" applyFill="1" applyBorder="1" applyAlignment="1">
      <alignment horizontal="right"/>
    </xf>
    <xf numFmtId="0" fontId="5" fillId="3" borderId="12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right"/>
    </xf>
    <xf numFmtId="0" fontId="8" fillId="43" borderId="49" xfId="0" applyFont="1" applyFill="1" applyBorder="1" applyAlignment="1">
      <alignment vertical="center"/>
    </xf>
    <xf numFmtId="0" fontId="8" fillId="43" borderId="49" xfId="0" applyFont="1" applyFill="1" applyBorder="1" applyProtection="1">
      <protection locked="0"/>
    </xf>
    <xf numFmtId="0" fontId="8" fillId="43" borderId="49" xfId="0" applyFont="1" applyFill="1" applyBorder="1" applyAlignment="1" applyProtection="1">
      <alignment vertical="center"/>
      <protection locked="0"/>
    </xf>
    <xf numFmtId="0" fontId="8" fillId="43" borderId="47" xfId="0" applyFont="1" applyFill="1" applyBorder="1" applyAlignment="1">
      <alignment vertical="center"/>
    </xf>
    <xf numFmtId="0" fontId="3" fillId="45" borderId="30" xfId="0" applyFont="1" applyFill="1" applyBorder="1" applyProtection="1">
      <protection locked="0"/>
    </xf>
    <xf numFmtId="0" fontId="8" fillId="43" borderId="46" xfId="0" applyFont="1" applyFill="1" applyBorder="1" applyAlignment="1" applyProtection="1">
      <alignment vertical="center"/>
      <protection locked="0"/>
    </xf>
    <xf numFmtId="0" fontId="8" fillId="43" borderId="32" xfId="0" applyFont="1" applyFill="1" applyBorder="1" applyAlignment="1" applyProtection="1">
      <alignment vertical="center"/>
      <protection locked="0"/>
    </xf>
    <xf numFmtId="3" fontId="5" fillId="45" borderId="30" xfId="0" applyNumberFormat="1" applyFont="1" applyFill="1" applyBorder="1" applyAlignment="1">
      <alignment horizontal="right"/>
    </xf>
    <xf numFmtId="38" fontId="2" fillId="45" borderId="30" xfId="0" applyNumberFormat="1" applyFont="1" applyFill="1" applyBorder="1" applyAlignment="1">
      <alignment horizontal="right"/>
    </xf>
    <xf numFmtId="38" fontId="2" fillId="45" borderId="52" xfId="0" applyNumberFormat="1" applyFont="1" applyFill="1" applyBorder="1" applyAlignment="1">
      <alignment horizontal="right"/>
    </xf>
    <xf numFmtId="3" fontId="2" fillId="45" borderId="30" xfId="0" applyNumberFormat="1" applyFont="1" applyFill="1" applyBorder="1" applyAlignment="1">
      <alignment horizontal="center"/>
    </xf>
    <xf numFmtId="3" fontId="2" fillId="45" borderId="52" xfId="0" applyNumberFormat="1" applyFont="1" applyFill="1" applyBorder="1" applyAlignment="1">
      <alignment horizontal="center"/>
    </xf>
    <xf numFmtId="38" fontId="5" fillId="45" borderId="30" xfId="0" applyNumberFormat="1" applyFont="1" applyFill="1" applyBorder="1" applyAlignment="1">
      <alignment horizontal="center"/>
    </xf>
    <xf numFmtId="0" fontId="2" fillId="46" borderId="46" xfId="0" applyFont="1" applyFill="1" applyBorder="1" applyAlignment="1">
      <alignment vertical="center"/>
    </xf>
    <xf numFmtId="0" fontId="2" fillId="46" borderId="46" xfId="0" applyFont="1" applyFill="1" applyBorder="1" applyAlignment="1">
      <alignment vertical="center" wrapText="1"/>
    </xf>
    <xf numFmtId="0" fontId="2" fillId="46" borderId="48" xfId="0" applyFont="1" applyFill="1" applyBorder="1" applyAlignment="1">
      <alignment horizontal="center" vertical="center"/>
    </xf>
    <xf numFmtId="0" fontId="2" fillId="46" borderId="18" xfId="0" applyFont="1" applyFill="1" applyBorder="1" applyAlignment="1">
      <alignment horizontal="center" vertical="center"/>
    </xf>
    <xf numFmtId="0" fontId="2" fillId="46" borderId="29" xfId="0" applyFont="1" applyFill="1" applyBorder="1" applyAlignment="1">
      <alignment horizontal="center" vertical="center"/>
    </xf>
    <xf numFmtId="0" fontId="2" fillId="46" borderId="42" xfId="0" applyFont="1" applyFill="1" applyBorder="1" applyAlignment="1">
      <alignment horizontal="center" vertical="center"/>
    </xf>
    <xf numFmtId="0" fontId="15" fillId="46" borderId="48" xfId="0" applyFont="1" applyFill="1" applyBorder="1" applyAlignment="1">
      <alignment horizontal="center" vertical="center"/>
    </xf>
    <xf numFmtId="0" fontId="15" fillId="46" borderId="18" xfId="0" applyFont="1" applyFill="1" applyBorder="1" applyAlignment="1">
      <alignment horizontal="center" vertical="center"/>
    </xf>
    <xf numFmtId="0" fontId="15" fillId="46" borderId="29" xfId="0" applyFont="1" applyFill="1" applyBorder="1" applyAlignment="1">
      <alignment horizontal="center" vertical="center"/>
    </xf>
    <xf numFmtId="0" fontId="15" fillId="46" borderId="42" xfId="0" applyFont="1" applyFill="1" applyBorder="1" applyAlignment="1">
      <alignment horizontal="center" vertical="center"/>
    </xf>
    <xf numFmtId="0" fontId="5" fillId="47" borderId="0" xfId="0" applyFont="1" applyFill="1" applyAlignment="1">
      <alignment horizontal="center"/>
    </xf>
    <xf numFmtId="0" fontId="3" fillId="47" borderId="0" xfId="0" applyFont="1" applyFill="1"/>
    <xf numFmtId="0" fontId="5" fillId="47" borderId="0" xfId="0" applyFont="1" applyFill="1"/>
    <xf numFmtId="0" fontId="1" fillId="0" borderId="0" xfId="11"/>
    <xf numFmtId="0" fontId="64" fillId="0" borderId="0" xfId="11" applyFont="1"/>
    <xf numFmtId="0" fontId="4" fillId="3" borderId="0" xfId="12" applyFont="1" applyFill="1" applyAlignment="1">
      <alignment horizontal="center"/>
    </xf>
    <xf numFmtId="0" fontId="4" fillId="3" borderId="0" xfId="12" applyFont="1" applyFill="1"/>
    <xf numFmtId="0" fontId="2" fillId="3" borderId="0" xfId="12" applyFont="1" applyFill="1"/>
    <xf numFmtId="0" fontId="65" fillId="0" borderId="49" xfId="13" applyFont="1" applyBorder="1" applyAlignment="1">
      <alignment vertical="center"/>
    </xf>
    <xf numFmtId="0" fontId="1" fillId="0" borderId="50" xfId="11" applyBorder="1"/>
    <xf numFmtId="0" fontId="64" fillId="0" borderId="50" xfId="11" applyFont="1" applyBorder="1"/>
    <xf numFmtId="40" fontId="65" fillId="0" borderId="32" xfId="13" applyNumberFormat="1" applyFont="1" applyBorder="1" applyAlignment="1">
      <alignment vertical="center"/>
    </xf>
    <xf numFmtId="0" fontId="66" fillId="42" borderId="79" xfId="13" applyFont="1" applyFill="1" applyBorder="1" applyAlignment="1">
      <alignment vertical="center"/>
    </xf>
    <xf numFmtId="17" fontId="66" fillId="42" borderId="80" xfId="13" quotePrefix="1" applyNumberFormat="1" applyFont="1" applyFill="1" applyBorder="1" applyAlignment="1">
      <alignment horizontal="center" vertical="center"/>
    </xf>
    <xf numFmtId="38" fontId="1" fillId="3" borderId="35" xfId="14" quotePrefix="1" applyNumberFormat="1" applyFill="1" applyBorder="1" applyAlignment="1">
      <alignment horizontal="center" vertical="center"/>
    </xf>
    <xf numFmtId="0" fontId="1" fillId="0" borderId="9" xfId="13" applyBorder="1"/>
    <xf numFmtId="38" fontId="1" fillId="0" borderId="0" xfId="14" quotePrefix="1" applyNumberFormat="1" applyAlignment="1">
      <alignment horizontal="center" vertical="center"/>
    </xf>
    <xf numFmtId="38" fontId="2" fillId="0" borderId="0" xfId="14" quotePrefix="1" applyNumberFormat="1" applyFont="1" applyAlignment="1">
      <alignment horizontal="left" vertical="center"/>
    </xf>
    <xf numFmtId="38" fontId="1" fillId="3" borderId="0" xfId="14" quotePrefix="1" applyNumberFormat="1" applyFill="1" applyAlignment="1">
      <alignment horizontal="center" vertical="center"/>
    </xf>
    <xf numFmtId="0" fontId="2" fillId="3" borderId="42" xfId="12" applyFont="1" applyFill="1" applyBorder="1"/>
    <xf numFmtId="3" fontId="2" fillId="3" borderId="42" xfId="12" applyNumberFormat="1" applyFont="1" applyFill="1" applyBorder="1"/>
    <xf numFmtId="10" fontId="2" fillId="3" borderId="42" xfId="12" applyNumberFormat="1" applyFont="1" applyFill="1" applyBorder="1"/>
    <xf numFmtId="0" fontId="1" fillId="0" borderId="9" xfId="11" applyBorder="1"/>
    <xf numFmtId="0" fontId="67" fillId="0" borderId="9" xfId="13" applyFont="1" applyBorder="1" applyAlignment="1">
      <alignment horizontal="left"/>
    </xf>
    <xf numFmtId="171" fontId="67" fillId="0" borderId="0" xfId="5" quotePrefix="1" applyNumberFormat="1" applyFont="1" applyAlignment="1">
      <alignment horizontal="center" vertical="center"/>
    </xf>
    <xf numFmtId="38" fontId="17" fillId="3" borderId="0" xfId="14" quotePrefix="1" applyNumberFormat="1" applyFont="1" applyFill="1" applyAlignment="1">
      <alignment horizontal="left" vertical="center"/>
    </xf>
    <xf numFmtId="38" fontId="2" fillId="0" borderId="0" xfId="14" quotePrefix="1" applyNumberFormat="1" applyFont="1" applyAlignment="1">
      <alignment horizontal="center" vertical="center"/>
    </xf>
    <xf numFmtId="171" fontId="2" fillId="3" borderId="42" xfId="12" applyNumberFormat="1" applyFont="1" applyFill="1" applyBorder="1"/>
    <xf numFmtId="38" fontId="0" fillId="0" borderId="0" xfId="14" quotePrefix="1" applyNumberFormat="1" applyFont="1" applyAlignment="1">
      <alignment horizontal="center" vertical="center"/>
    </xf>
    <xf numFmtId="9" fontId="2" fillId="3" borderId="42" xfId="12" applyNumberFormat="1" applyFont="1" applyFill="1" applyBorder="1"/>
    <xf numFmtId="38" fontId="17" fillId="45" borderId="0" xfId="14" quotePrefix="1" applyNumberFormat="1" applyFont="1" applyFill="1" applyAlignment="1">
      <alignment horizontal="left" vertical="center"/>
    </xf>
    <xf numFmtId="0" fontId="1" fillId="0" borderId="81" xfId="13" applyBorder="1"/>
    <xf numFmtId="38" fontId="1" fillId="0" borderId="82" xfId="14" quotePrefix="1" applyNumberFormat="1" applyBorder="1" applyAlignment="1">
      <alignment horizontal="center" vertical="center"/>
    </xf>
    <xf numFmtId="38" fontId="1" fillId="0" borderId="0" xfId="13" applyNumberFormat="1"/>
    <xf numFmtId="0" fontId="1" fillId="3" borderId="9" xfId="13" applyFill="1" applyBorder="1" applyAlignment="1">
      <alignment vertical="center"/>
    </xf>
    <xf numFmtId="0" fontId="68" fillId="0" borderId="0" xfId="11" applyFont="1"/>
    <xf numFmtId="0" fontId="68" fillId="0" borderId="9" xfId="13" applyFont="1" applyBorder="1" applyAlignment="1">
      <alignment vertical="center"/>
    </xf>
    <xf numFmtId="38" fontId="68" fillId="3" borderId="0" xfId="14" quotePrefix="1" applyNumberFormat="1" applyFont="1" applyFill="1" applyAlignment="1">
      <alignment horizontal="center" vertical="center"/>
    </xf>
    <xf numFmtId="38" fontId="17" fillId="3" borderId="0" xfId="14" quotePrefix="1" applyNumberFormat="1" applyFont="1" applyFill="1" applyAlignment="1">
      <alignment horizontal="center" vertical="center"/>
    </xf>
    <xf numFmtId="0" fontId="1" fillId="3" borderId="81" xfId="13" applyFill="1" applyBorder="1" applyAlignment="1">
      <alignment vertical="center"/>
    </xf>
    <xf numFmtId="38" fontId="1" fillId="3" borderId="82" xfId="14" quotePrefix="1" applyNumberFormat="1" applyFill="1" applyBorder="1" applyAlignment="1">
      <alignment horizontal="center" vertical="center"/>
    </xf>
    <xf numFmtId="0" fontId="1" fillId="0" borderId="0" xfId="13"/>
    <xf numFmtId="0" fontId="2" fillId="0" borderId="0" xfId="11" applyFont="1" applyAlignment="1">
      <alignment horizontal="center" vertical="center" wrapText="1"/>
    </xf>
    <xf numFmtId="189" fontId="1" fillId="3" borderId="0" xfId="15" quotePrefix="1" applyNumberFormat="1" applyFill="1" applyAlignment="1">
      <alignment horizontal="center" vertical="center"/>
    </xf>
    <xf numFmtId="190" fontId="1" fillId="3" borderId="0" xfId="15" quotePrefix="1" applyNumberFormat="1" applyFill="1" applyAlignment="1">
      <alignment horizontal="center" vertical="center"/>
    </xf>
    <xf numFmtId="0" fontId="2" fillId="0" borderId="0" xfId="11" applyFont="1" applyAlignment="1">
      <alignment horizontal="center"/>
    </xf>
    <xf numFmtId="0" fontId="70" fillId="0" borderId="0" xfId="11" applyFont="1" applyAlignment="1">
      <alignment horizontal="center" vertical="center" wrapText="1"/>
    </xf>
    <xf numFmtId="182" fontId="1" fillId="3" borderId="0" xfId="15" quotePrefix="1" applyNumberFormat="1" applyFill="1" applyAlignment="1">
      <alignment horizontal="center" vertical="center"/>
    </xf>
    <xf numFmtId="0" fontId="70" fillId="0" borderId="0" xfId="11" applyFont="1" applyAlignment="1">
      <alignment horizontal="center"/>
    </xf>
    <xf numFmtId="182" fontId="1" fillId="3" borderId="0" xfId="13" applyNumberFormat="1" applyFill="1" applyAlignment="1">
      <alignment horizontal="center" vertical="center"/>
    </xf>
    <xf numFmtId="38" fontId="17" fillId="0" borderId="50" xfId="14" quotePrefix="1" applyNumberFormat="1" applyFont="1" applyBorder="1" applyAlignment="1">
      <alignment horizontal="center" vertical="center"/>
    </xf>
    <xf numFmtId="38" fontId="17" fillId="0" borderId="33" xfId="14" quotePrefix="1" applyNumberFormat="1" applyFont="1" applyBorder="1" applyAlignment="1">
      <alignment horizontal="center" vertical="center"/>
    </xf>
    <xf numFmtId="182" fontId="1" fillId="3" borderId="82" xfId="13" applyNumberFormat="1" applyFill="1" applyBorder="1" applyAlignment="1">
      <alignment horizontal="center" vertical="center"/>
    </xf>
    <xf numFmtId="3" fontId="1" fillId="3" borderId="0" xfId="14" quotePrefix="1" applyNumberFormat="1" applyFill="1" applyAlignment="1">
      <alignment horizontal="center" vertical="center"/>
    </xf>
    <xf numFmtId="3" fontId="1" fillId="3" borderId="35" xfId="14" quotePrefix="1" applyNumberFormat="1" applyFill="1" applyBorder="1" applyAlignment="1">
      <alignment horizontal="center" vertical="center"/>
    </xf>
    <xf numFmtId="38" fontId="1" fillId="0" borderId="0" xfId="13" applyNumberFormat="1" applyAlignment="1">
      <alignment horizontal="center" vertical="center"/>
    </xf>
    <xf numFmtId="3" fontId="1" fillId="0" borderId="35" xfId="11" applyNumberFormat="1" applyBorder="1" applyAlignment="1">
      <alignment horizontal="center"/>
    </xf>
    <xf numFmtId="0" fontId="1" fillId="3" borderId="9" xfId="13" quotePrefix="1" applyFill="1" applyBorder="1" applyAlignment="1">
      <alignment vertical="center"/>
    </xf>
    <xf numFmtId="0" fontId="1" fillId="0" borderId="35" xfId="11" applyBorder="1"/>
    <xf numFmtId="38" fontId="17" fillId="0" borderId="0" xfId="14" quotePrefix="1" applyNumberFormat="1" applyFont="1" applyAlignment="1">
      <alignment horizontal="left" vertical="center"/>
    </xf>
    <xf numFmtId="38" fontId="71" fillId="3" borderId="0" xfId="14" quotePrefix="1" applyNumberFormat="1" applyFont="1" applyFill="1" applyAlignment="1">
      <alignment vertical="top" wrapText="1"/>
    </xf>
    <xf numFmtId="38" fontId="71" fillId="3" borderId="35" xfId="14" quotePrefix="1" applyNumberFormat="1" applyFont="1" applyFill="1" applyBorder="1" applyAlignment="1">
      <alignment vertical="top" wrapText="1"/>
    </xf>
    <xf numFmtId="0" fontId="1" fillId="3" borderId="83" xfId="13" applyFill="1" applyBorder="1" applyAlignment="1">
      <alignment vertical="center"/>
    </xf>
    <xf numFmtId="38" fontId="1" fillId="0" borderId="84" xfId="13" applyNumberFormat="1" applyBorder="1" applyAlignment="1">
      <alignment horizontal="center" vertical="center"/>
    </xf>
    <xf numFmtId="38" fontId="17" fillId="45" borderId="49" xfId="14" quotePrefix="1" applyNumberFormat="1" applyFont="1" applyFill="1" applyBorder="1" applyAlignment="1">
      <alignment horizontal="left" vertical="center"/>
    </xf>
    <xf numFmtId="38" fontId="71" fillId="3" borderId="50" xfId="14" quotePrefix="1" applyNumberFormat="1" applyFont="1" applyFill="1" applyBorder="1" applyAlignment="1">
      <alignment vertical="top" wrapText="1"/>
    </xf>
    <xf numFmtId="0" fontId="64" fillId="0" borderId="33" xfId="11" applyFont="1" applyBorder="1"/>
    <xf numFmtId="38" fontId="17" fillId="0" borderId="9" xfId="14" quotePrefix="1" applyNumberFormat="1" applyFont="1" applyBorder="1" applyAlignment="1">
      <alignment horizontal="left" vertical="center"/>
    </xf>
    <xf numFmtId="0" fontId="64" fillId="0" borderId="35" xfId="11" applyFont="1" applyBorder="1"/>
    <xf numFmtId="38" fontId="17" fillId="0" borderId="85" xfId="14" quotePrefix="1" applyNumberFormat="1" applyFont="1" applyBorder="1" applyAlignment="1">
      <alignment horizontal="left" vertical="center"/>
    </xf>
    <xf numFmtId="38" fontId="17" fillId="3" borderId="85" xfId="14" quotePrefix="1" applyNumberFormat="1" applyFont="1" applyFill="1" applyBorder="1" applyAlignment="1">
      <alignment wrapText="1"/>
    </xf>
    <xf numFmtId="38" fontId="17" fillId="0" borderId="86" xfId="14" quotePrefix="1" applyNumberFormat="1" applyFont="1" applyBorder="1" applyAlignment="1">
      <alignment horizontal="left" vertical="center"/>
    </xf>
    <xf numFmtId="10" fontId="17" fillId="3" borderId="86" xfId="5" quotePrefix="1" applyNumberFormat="1" applyFont="1" applyFill="1" applyBorder="1" applyAlignment="1">
      <alignment horizontal="right" wrapText="1"/>
    </xf>
    <xf numFmtId="38" fontId="17" fillId="3" borderId="86" xfId="14" quotePrefix="1" applyNumberFormat="1" applyFont="1" applyFill="1" applyBorder="1" applyAlignment="1">
      <alignment wrapText="1"/>
    </xf>
    <xf numFmtId="38" fontId="1" fillId="0" borderId="35" xfId="13" applyNumberFormat="1" applyBorder="1" applyAlignment="1">
      <alignment horizontal="center" vertical="center"/>
    </xf>
    <xf numFmtId="38" fontId="17" fillId="3" borderId="86" xfId="14" quotePrefix="1" applyNumberFormat="1" applyFont="1" applyFill="1" applyBorder="1" applyAlignment="1">
      <alignment horizontal="right" wrapText="1"/>
    </xf>
    <xf numFmtId="38" fontId="17" fillId="0" borderId="87" xfId="14" quotePrefix="1" applyNumberFormat="1" applyFont="1" applyBorder="1" applyAlignment="1">
      <alignment horizontal="left" vertical="center"/>
    </xf>
    <xf numFmtId="38" fontId="17" fillId="3" borderId="87" xfId="14" quotePrefix="1" applyNumberFormat="1" applyFont="1" applyFill="1" applyBorder="1" applyAlignment="1">
      <alignment wrapText="1"/>
    </xf>
    <xf numFmtId="38" fontId="17" fillId="3" borderId="87" xfId="14" quotePrefix="1" applyNumberFormat="1" applyFont="1" applyFill="1" applyBorder="1" applyAlignment="1">
      <alignment horizontal="right" wrapText="1"/>
    </xf>
    <xf numFmtId="0" fontId="1" fillId="0" borderId="49" xfId="11" applyBorder="1"/>
    <xf numFmtId="0" fontId="1" fillId="3" borderId="22" xfId="13" applyFill="1" applyBorder="1" applyAlignment="1">
      <alignment vertical="center"/>
    </xf>
    <xf numFmtId="38" fontId="1" fillId="0" borderId="21" xfId="13" applyNumberFormat="1" applyBorder="1" applyAlignment="1">
      <alignment horizontal="center" vertical="center"/>
    </xf>
    <xf numFmtId="38" fontId="1" fillId="0" borderId="23" xfId="13" applyNumberFormat="1" applyBorder="1" applyAlignment="1">
      <alignment horizontal="center" vertical="center"/>
    </xf>
    <xf numFmtId="0" fontId="1" fillId="0" borderId="21" xfId="11" applyBorder="1"/>
    <xf numFmtId="0" fontId="64" fillId="0" borderId="21" xfId="11" applyFont="1" applyBorder="1"/>
    <xf numFmtId="0" fontId="1" fillId="0" borderId="22" xfId="11" applyBorder="1"/>
    <xf numFmtId="38" fontId="71" fillId="3" borderId="21" xfId="14" quotePrefix="1" applyNumberFormat="1" applyFont="1" applyFill="1" applyBorder="1" applyAlignment="1">
      <alignment vertical="top" wrapText="1"/>
    </xf>
    <xf numFmtId="38" fontId="71" fillId="3" borderId="23" xfId="14" quotePrefix="1" applyNumberFormat="1" applyFont="1" applyFill="1" applyBorder="1" applyAlignment="1">
      <alignment vertical="top" wrapText="1"/>
    </xf>
    <xf numFmtId="0" fontId="63" fillId="48" borderId="0" xfId="11" applyFont="1" applyFill="1" applyAlignment="1">
      <alignment horizontal="center" vertical="center"/>
    </xf>
    <xf numFmtId="38" fontId="1" fillId="0" borderId="0" xfId="11" applyNumberFormat="1"/>
    <xf numFmtId="38" fontId="64" fillId="0" borderId="0" xfId="11" applyNumberFormat="1" applyFont="1"/>
    <xf numFmtId="182" fontId="1" fillId="0" borderId="0" xfId="11" applyNumberFormat="1"/>
    <xf numFmtId="3" fontId="1" fillId="0" borderId="0" xfId="11" applyNumberFormat="1" applyAlignment="1">
      <alignment horizontal="center"/>
    </xf>
    <xf numFmtId="38" fontId="1" fillId="0" borderId="35" xfId="14" quotePrefix="1" applyNumberFormat="1" applyBorder="1" applyAlignment="1">
      <alignment horizontal="center" vertical="center"/>
    </xf>
    <xf numFmtId="171" fontId="67" fillId="0" borderId="35" xfId="5" quotePrefix="1" applyNumberFormat="1" applyFont="1" applyBorder="1" applyAlignment="1">
      <alignment horizontal="center" vertical="center"/>
    </xf>
    <xf numFmtId="38" fontId="0" fillId="0" borderId="35" xfId="14" quotePrefix="1" applyNumberFormat="1" applyFont="1" applyBorder="1" applyAlignment="1">
      <alignment horizontal="center" vertical="center"/>
    </xf>
    <xf numFmtId="38" fontId="1" fillId="0" borderId="88" xfId="14" quotePrefix="1" applyNumberFormat="1" applyBorder="1" applyAlignment="1">
      <alignment horizontal="center" vertical="center"/>
    </xf>
    <xf numFmtId="38" fontId="1" fillId="0" borderId="35" xfId="13" applyNumberFormat="1" applyBorder="1"/>
    <xf numFmtId="38" fontId="68" fillId="3" borderId="35" xfId="14" quotePrefix="1" applyNumberFormat="1" applyFont="1" applyFill="1" applyBorder="1" applyAlignment="1">
      <alignment horizontal="center" vertical="center"/>
    </xf>
    <xf numFmtId="38" fontId="17" fillId="3" borderId="35" xfId="14" quotePrefix="1" applyNumberFormat="1" applyFont="1" applyFill="1" applyBorder="1" applyAlignment="1">
      <alignment horizontal="center" vertical="center"/>
    </xf>
    <xf numFmtId="38" fontId="1" fillId="3" borderId="88" xfId="14" quotePrefix="1" applyNumberFormat="1" applyFill="1" applyBorder="1" applyAlignment="1">
      <alignment horizontal="center" vertical="center"/>
    </xf>
    <xf numFmtId="0" fontId="1" fillId="0" borderId="35" xfId="13" applyBorder="1"/>
    <xf numFmtId="189" fontId="1" fillId="3" borderId="35" xfId="15" quotePrefix="1" applyNumberFormat="1" applyFill="1" applyBorder="1" applyAlignment="1">
      <alignment horizontal="center" vertical="center"/>
    </xf>
    <xf numFmtId="182" fontId="1" fillId="3" borderId="35" xfId="15" quotePrefix="1" applyNumberFormat="1" applyFill="1" applyBorder="1" applyAlignment="1">
      <alignment horizontal="center" vertical="center"/>
    </xf>
    <xf numFmtId="182" fontId="1" fillId="3" borderId="35" xfId="13" applyNumberFormat="1" applyFill="1" applyBorder="1" applyAlignment="1">
      <alignment horizontal="center" vertical="center"/>
    </xf>
    <xf numFmtId="182" fontId="1" fillId="3" borderId="88" xfId="13" applyNumberFormat="1" applyFill="1" applyBorder="1" applyAlignment="1">
      <alignment horizontal="center" vertical="center"/>
    </xf>
    <xf numFmtId="17" fontId="66" fillId="42" borderId="89" xfId="13" quotePrefix="1" applyNumberFormat="1" applyFont="1" applyFill="1" applyBorder="1" applyAlignment="1">
      <alignment horizontal="center" vertical="center"/>
    </xf>
    <xf numFmtId="38" fontId="1" fillId="0" borderId="90" xfId="13" applyNumberFormat="1" applyBorder="1" applyAlignment="1">
      <alignment horizontal="center" vertical="center"/>
    </xf>
    <xf numFmtId="38" fontId="2" fillId="0" borderId="23" xfId="14" quotePrefix="1" applyNumberFormat="1" applyFont="1" applyBorder="1" applyAlignment="1">
      <alignment horizontal="center" vertical="center"/>
    </xf>
    <xf numFmtId="40" fontId="2" fillId="15" borderId="22" xfId="12" applyNumberFormat="1" applyFont="1" applyFill="1" applyBorder="1" applyAlignment="1">
      <alignment vertical="center"/>
    </xf>
    <xf numFmtId="171" fontId="67" fillId="3" borderId="0" xfId="5" quotePrefix="1" applyNumberFormat="1" applyFont="1" applyFill="1" applyAlignment="1">
      <alignment horizontal="center" vertical="center"/>
    </xf>
    <xf numFmtId="38" fontId="1" fillId="3" borderId="50" xfId="14" quotePrefix="1" applyNumberFormat="1" applyFill="1" applyBorder="1" applyAlignment="1">
      <alignment horizontal="left" vertical="center"/>
    </xf>
    <xf numFmtId="38" fontId="1" fillId="3" borderId="0" xfId="14" quotePrefix="1" applyNumberFormat="1" applyFill="1" applyAlignment="1">
      <alignment horizontal="left" vertical="center"/>
    </xf>
    <xf numFmtId="171" fontId="67" fillId="3" borderId="0" xfId="5" quotePrefix="1" applyNumberFormat="1" applyFont="1" applyFill="1" applyAlignment="1">
      <alignment horizontal="left" vertical="center"/>
    </xf>
    <xf numFmtId="38" fontId="1" fillId="3" borderId="0" xfId="14" quotePrefix="1" applyNumberFormat="1" applyFill="1" applyAlignment="1">
      <alignment vertical="center"/>
    </xf>
    <xf numFmtId="9" fontId="69" fillId="3" borderId="50" xfId="5" quotePrefix="1" applyFont="1" applyFill="1" applyBorder="1" applyAlignment="1">
      <alignment horizontal="center" vertical="center"/>
    </xf>
    <xf numFmtId="0" fontId="1" fillId="3" borderId="50" xfId="14" quotePrefix="1" applyFill="1" applyBorder="1" applyAlignment="1">
      <alignment horizontal="center" vertical="center"/>
    </xf>
    <xf numFmtId="10" fontId="1" fillId="3" borderId="0" xfId="5" quotePrefix="1" applyNumberFormat="1" applyFill="1" applyAlignment="1">
      <alignment horizontal="center" vertical="center"/>
    </xf>
    <xf numFmtId="38" fontId="64" fillId="3" borderId="0" xfId="14" quotePrefix="1" applyNumberFormat="1" applyFont="1" applyFill="1" applyAlignment="1">
      <alignment horizontal="center" vertical="center"/>
    </xf>
    <xf numFmtId="38" fontId="17" fillId="45" borderId="50" xfId="14" quotePrefix="1" applyNumberFormat="1" applyFont="1" applyFill="1" applyBorder="1" applyAlignment="1">
      <alignment horizontal="left" vertical="center"/>
    </xf>
    <xf numFmtId="38" fontId="17" fillId="45" borderId="50" xfId="14" quotePrefix="1" applyNumberFormat="1" applyFont="1" applyFill="1" applyBorder="1" applyAlignment="1">
      <alignment horizontal="center" vertical="center"/>
    </xf>
    <xf numFmtId="171" fontId="67" fillId="45" borderId="50" xfId="5" quotePrefix="1" applyNumberFormat="1" applyFont="1" applyFill="1" applyBorder="1" applyAlignment="1">
      <alignment horizontal="center" vertical="center"/>
    </xf>
    <xf numFmtId="38" fontId="1" fillId="3" borderId="33" xfId="14" quotePrefix="1" applyNumberFormat="1" applyFill="1" applyBorder="1" applyAlignment="1">
      <alignment horizontal="center" vertical="center"/>
    </xf>
    <xf numFmtId="38" fontId="2" fillId="0" borderId="35" xfId="14" quotePrefix="1" applyNumberFormat="1" applyFont="1" applyBorder="1" applyAlignment="1">
      <alignment horizontal="center" vertical="center"/>
    </xf>
    <xf numFmtId="38" fontId="1" fillId="3" borderId="33" xfId="14" quotePrefix="1" applyNumberFormat="1" applyFill="1" applyBorder="1" applyAlignment="1">
      <alignment horizontal="left" vertical="center"/>
    </xf>
    <xf numFmtId="38" fontId="1" fillId="3" borderId="35" xfId="14" quotePrefix="1" applyNumberFormat="1" applyFill="1" applyBorder="1" applyAlignment="1">
      <alignment horizontal="left" vertical="center"/>
    </xf>
    <xf numFmtId="38" fontId="2" fillId="0" borderId="35" xfId="14" quotePrefix="1" applyNumberFormat="1" applyFont="1" applyBorder="1" applyAlignment="1">
      <alignment horizontal="left" vertical="center"/>
    </xf>
    <xf numFmtId="38" fontId="17" fillId="45" borderId="33" xfId="14" quotePrefix="1" applyNumberFormat="1" applyFont="1" applyFill="1" applyBorder="1" applyAlignment="1">
      <alignment horizontal="center" vertical="center"/>
    </xf>
    <xf numFmtId="171" fontId="67" fillId="3" borderId="35" xfId="5" quotePrefix="1" applyNumberFormat="1" applyFont="1" applyFill="1" applyBorder="1" applyAlignment="1">
      <alignment horizontal="center" vertical="center"/>
    </xf>
    <xf numFmtId="0" fontId="1" fillId="3" borderId="33" xfId="14" quotePrefix="1" applyFill="1" applyBorder="1" applyAlignment="1">
      <alignment horizontal="center" vertical="center"/>
    </xf>
    <xf numFmtId="38" fontId="53" fillId="41" borderId="0" xfId="14" quotePrefix="1" applyNumberFormat="1" applyFont="1" applyFill="1" applyAlignment="1">
      <alignment horizontal="center" vertical="center"/>
    </xf>
    <xf numFmtId="38" fontId="17" fillId="41" borderId="50" xfId="14" quotePrefix="1" applyNumberFormat="1" applyFont="1" applyFill="1" applyBorder="1" applyAlignment="1">
      <alignment horizontal="center" vertical="center"/>
    </xf>
    <xf numFmtId="171" fontId="1" fillId="3" borderId="0" xfId="5" quotePrefix="1" applyNumberFormat="1" applyFill="1" applyAlignment="1">
      <alignment horizontal="center" vertical="center"/>
    </xf>
    <xf numFmtId="9" fontId="1" fillId="3" borderId="35" xfId="5" quotePrefix="1" applyFill="1" applyBorder="1" applyAlignment="1">
      <alignment horizontal="center" vertical="center"/>
    </xf>
    <xf numFmtId="38" fontId="64" fillId="3" borderId="35" xfId="14" quotePrefix="1" applyNumberFormat="1" applyFont="1" applyFill="1" applyBorder="1" applyAlignment="1">
      <alignment horizontal="center" vertical="center"/>
    </xf>
    <xf numFmtId="14" fontId="17" fillId="3" borderId="33" xfId="14" quotePrefix="1" applyNumberFormat="1" applyFont="1" applyFill="1" applyBorder="1" applyAlignment="1">
      <alignment horizontal="center" vertical="center"/>
    </xf>
    <xf numFmtId="40" fontId="2" fillId="15" borderId="49" xfId="0" applyNumberFormat="1" applyFont="1" applyFill="1" applyBorder="1" applyAlignment="1">
      <alignment vertical="center"/>
    </xf>
    <xf numFmtId="40" fontId="2" fillId="15" borderId="9" xfId="0" applyNumberFormat="1" applyFont="1" applyFill="1" applyBorder="1" applyAlignment="1">
      <alignment vertical="center"/>
    </xf>
    <xf numFmtId="40" fontId="2" fillId="18" borderId="9" xfId="0" applyNumberFormat="1" applyFont="1" applyFill="1" applyBorder="1" applyAlignment="1">
      <alignment vertical="center"/>
    </xf>
    <xf numFmtId="40" fontId="2" fillId="15" borderId="22" xfId="0" applyNumberFormat="1" applyFont="1" applyFill="1" applyBorder="1" applyAlignment="1">
      <alignment vertical="center"/>
    </xf>
    <xf numFmtId="40" fontId="2" fillId="15" borderId="48" xfId="0" applyNumberFormat="1" applyFont="1" applyFill="1" applyBorder="1" applyAlignment="1">
      <alignment vertical="center"/>
    </xf>
    <xf numFmtId="40" fontId="2" fillId="15" borderId="18" xfId="0" applyNumberFormat="1" applyFont="1" applyFill="1" applyBorder="1" applyAlignment="1">
      <alignment vertical="center"/>
    </xf>
    <xf numFmtId="40" fontId="2" fillId="18" borderId="18" xfId="0" applyNumberFormat="1" applyFont="1" applyFill="1" applyBorder="1" applyAlignment="1">
      <alignment vertical="center"/>
    </xf>
    <xf numFmtId="40" fontId="2" fillId="15" borderId="29" xfId="0" applyNumberFormat="1" applyFont="1" applyFill="1" applyBorder="1" applyAlignment="1">
      <alignment vertical="center"/>
    </xf>
    <xf numFmtId="40" fontId="30" fillId="3" borderId="0" xfId="0" applyNumberFormat="1" applyFont="1" applyFill="1" applyAlignment="1">
      <alignment horizontal="center" vertical="center"/>
    </xf>
    <xf numFmtId="177" fontId="4" fillId="14" borderId="42" xfId="0" applyNumberFormat="1" applyFont="1" applyFill="1" applyBorder="1" applyAlignment="1">
      <alignment horizontal="center" vertical="center"/>
    </xf>
    <xf numFmtId="40" fontId="55" fillId="15" borderId="49" xfId="0" applyNumberFormat="1" applyFont="1" applyFill="1" applyBorder="1" applyAlignment="1">
      <alignment vertical="center"/>
    </xf>
    <xf numFmtId="38" fontId="4" fillId="5" borderId="48" xfId="0" applyNumberFormat="1" applyFont="1" applyFill="1" applyBorder="1" applyAlignment="1">
      <alignment vertical="center"/>
    </xf>
    <xf numFmtId="0" fontId="8" fillId="17" borderId="49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30" fillId="17" borderId="9" xfId="0" applyFont="1" applyFill="1" applyBorder="1" applyAlignment="1">
      <alignment horizontal="center" vertical="center"/>
    </xf>
    <xf numFmtId="181" fontId="4" fillId="14" borderId="48" xfId="0" applyNumberFormat="1" applyFont="1" applyFill="1" applyBorder="1" applyAlignment="1">
      <alignment horizontal="center" vertical="center"/>
    </xf>
    <xf numFmtId="0" fontId="1" fillId="0" borderId="0" xfId="0" applyFont="1"/>
    <xf numFmtId="172" fontId="20" fillId="3" borderId="0" xfId="0" applyNumberFormat="1" applyFont="1" applyFill="1" applyAlignment="1" applyProtection="1">
      <alignment horizontal="center"/>
      <protection locked="0"/>
    </xf>
    <xf numFmtId="0" fontId="20" fillId="3" borderId="0" xfId="0" applyFont="1" applyFill="1" applyAlignment="1" applyProtection="1">
      <alignment horizontal="center"/>
      <protection locked="0"/>
    </xf>
    <xf numFmtId="0" fontId="2" fillId="33" borderId="49" xfId="0" applyFont="1" applyFill="1" applyBorder="1" applyAlignment="1">
      <alignment horizontal="left" vertical="top" wrapText="1"/>
    </xf>
    <xf numFmtId="0" fontId="2" fillId="33" borderId="50" xfId="0" applyFont="1" applyFill="1" applyBorder="1" applyAlignment="1">
      <alignment horizontal="left" vertical="top" wrapText="1"/>
    </xf>
    <xf numFmtId="0" fontId="2" fillId="33" borderId="33" xfId="0" applyFont="1" applyFill="1" applyBorder="1" applyAlignment="1">
      <alignment horizontal="left" vertical="top" wrapText="1"/>
    </xf>
    <xf numFmtId="0" fontId="2" fillId="33" borderId="9" xfId="0" applyFont="1" applyFill="1" applyBorder="1" applyAlignment="1">
      <alignment horizontal="left" vertical="top" wrapText="1"/>
    </xf>
    <xf numFmtId="0" fontId="2" fillId="33" borderId="0" xfId="0" applyFont="1" applyFill="1" applyAlignment="1">
      <alignment horizontal="left" vertical="top" wrapText="1"/>
    </xf>
    <xf numFmtId="0" fontId="2" fillId="33" borderId="35" xfId="0" applyFont="1" applyFill="1" applyBorder="1" applyAlignment="1">
      <alignment horizontal="left" vertical="top" wrapText="1"/>
    </xf>
    <xf numFmtId="0" fontId="2" fillId="33" borderId="22" xfId="0" applyFont="1" applyFill="1" applyBorder="1" applyAlignment="1">
      <alignment horizontal="left" vertical="top" wrapText="1"/>
    </xf>
    <xf numFmtId="0" fontId="2" fillId="33" borderId="21" xfId="0" applyFont="1" applyFill="1" applyBorder="1" applyAlignment="1">
      <alignment horizontal="left" vertical="top" wrapText="1"/>
    </xf>
    <xf numFmtId="0" fontId="2" fillId="33" borderId="23" xfId="0" applyFont="1" applyFill="1" applyBorder="1" applyAlignment="1">
      <alignment horizontal="left" vertical="top" wrapText="1"/>
    </xf>
    <xf numFmtId="0" fontId="4" fillId="35" borderId="49" xfId="0" applyFont="1" applyFill="1" applyBorder="1" applyAlignment="1">
      <alignment horizontal="left" wrapText="1"/>
    </xf>
    <xf numFmtId="0" fontId="4" fillId="35" borderId="50" xfId="0" applyFont="1" applyFill="1" applyBorder="1" applyAlignment="1">
      <alignment horizontal="left" wrapText="1"/>
    </xf>
    <xf numFmtId="0" fontId="4" fillId="35" borderId="33" xfId="0" applyFont="1" applyFill="1" applyBorder="1" applyAlignment="1">
      <alignment horizontal="left" wrapText="1"/>
    </xf>
    <xf numFmtId="0" fontId="2" fillId="7" borderId="49" xfId="0" applyFont="1" applyFill="1" applyBorder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33" fillId="2" borderId="9" xfId="0" applyFont="1" applyFill="1" applyBorder="1" applyAlignment="1">
      <alignment horizontal="center" vertical="center"/>
    </xf>
    <xf numFmtId="0" fontId="33" fillId="2" borderId="35" xfId="0" applyFont="1" applyFill="1" applyBorder="1" applyAlignment="1">
      <alignment horizontal="center" vertical="center"/>
    </xf>
    <xf numFmtId="0" fontId="33" fillId="2" borderId="22" xfId="0" applyFont="1" applyFill="1" applyBorder="1" applyAlignment="1">
      <alignment horizontal="center" vertical="center"/>
    </xf>
    <xf numFmtId="0" fontId="33" fillId="2" borderId="23" xfId="0" applyFont="1" applyFill="1" applyBorder="1" applyAlignment="1">
      <alignment horizontal="center" vertical="center"/>
    </xf>
    <xf numFmtId="40" fontId="41" fillId="27" borderId="36" xfId="0" applyNumberFormat="1" applyFont="1" applyFill="1" applyBorder="1" applyAlignment="1">
      <alignment horizontal="center" vertical="center"/>
    </xf>
    <xf numFmtId="40" fontId="41" fillId="27" borderId="37" xfId="0" applyNumberFormat="1" applyFont="1" applyFill="1" applyBorder="1" applyAlignment="1">
      <alignment horizontal="center" vertical="center"/>
    </xf>
    <xf numFmtId="40" fontId="41" fillId="27" borderId="34" xfId="0" applyNumberFormat="1" applyFont="1" applyFill="1" applyBorder="1" applyAlignment="1">
      <alignment horizontal="center" vertical="center"/>
    </xf>
    <xf numFmtId="40" fontId="61" fillId="39" borderId="0" xfId="0" applyNumberFormat="1" applyFont="1" applyFill="1" applyAlignment="1">
      <alignment horizontal="center" vertical="center"/>
    </xf>
    <xf numFmtId="0" fontId="30" fillId="0" borderId="22" xfId="0" applyFont="1" applyBorder="1" applyAlignment="1">
      <alignment horizontal="left" vertical="center"/>
    </xf>
    <xf numFmtId="0" fontId="30" fillId="0" borderId="21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40" fontId="4" fillId="3" borderId="73" xfId="0" applyNumberFormat="1" applyFont="1" applyFill="1" applyBorder="1" applyAlignment="1">
      <alignment horizontal="left" vertical="center"/>
    </xf>
    <xf numFmtId="40" fontId="4" fillId="3" borderId="32" xfId="0" applyNumberFormat="1" applyFont="1" applyFill="1" applyBorder="1" applyAlignment="1">
      <alignment horizontal="left" vertical="center"/>
    </xf>
    <xf numFmtId="40" fontId="4" fillId="3" borderId="6" xfId="0" applyNumberFormat="1" applyFont="1" applyFill="1" applyBorder="1" applyAlignment="1">
      <alignment horizontal="left" vertical="center"/>
    </xf>
    <xf numFmtId="40" fontId="4" fillId="3" borderId="0" xfId="0" applyNumberFormat="1" applyFont="1" applyFill="1" applyAlignment="1">
      <alignment horizontal="left" vertical="center"/>
    </xf>
    <xf numFmtId="0" fontId="9" fillId="22" borderId="19" xfId="0" applyFont="1" applyFill="1" applyBorder="1" applyAlignment="1">
      <alignment horizontal="center" vertical="center"/>
    </xf>
    <xf numFmtId="0" fontId="9" fillId="22" borderId="38" xfId="0" applyFont="1" applyFill="1" applyBorder="1" applyAlignment="1">
      <alignment horizontal="center" vertical="center"/>
    </xf>
    <xf numFmtId="0" fontId="30" fillId="3" borderId="46" xfId="0" quotePrefix="1" applyFont="1" applyFill="1" applyBorder="1" applyAlignment="1">
      <alignment horizontal="left" vertical="center"/>
    </xf>
    <xf numFmtId="0" fontId="30" fillId="3" borderId="32" xfId="0" quotePrefix="1" applyFont="1" applyFill="1" applyBorder="1" applyAlignment="1">
      <alignment horizontal="left" vertical="center"/>
    </xf>
    <xf numFmtId="0" fontId="30" fillId="3" borderId="47" xfId="0" quotePrefix="1" applyFont="1" applyFill="1" applyBorder="1" applyAlignment="1">
      <alignment horizontal="left" vertical="center"/>
    </xf>
    <xf numFmtId="0" fontId="30" fillId="3" borderId="49" xfId="0" applyFont="1" applyFill="1" applyBorder="1" applyAlignment="1">
      <alignment horizontal="left" vertical="center"/>
    </xf>
    <xf numFmtId="0" fontId="30" fillId="3" borderId="50" xfId="0" applyFont="1" applyFill="1" applyBorder="1" applyAlignment="1">
      <alignment horizontal="left" vertical="center"/>
    </xf>
    <xf numFmtId="0" fontId="30" fillId="3" borderId="33" xfId="0" applyFont="1" applyFill="1" applyBorder="1" applyAlignment="1">
      <alignment horizontal="left" vertical="center"/>
    </xf>
    <xf numFmtId="40" fontId="2" fillId="3" borderId="1" xfId="0" applyNumberFormat="1" applyFont="1" applyFill="1" applyBorder="1" applyAlignment="1">
      <alignment horizontal="left" vertical="center"/>
    </xf>
    <xf numFmtId="40" fontId="2" fillId="3" borderId="2" xfId="0" applyNumberFormat="1" applyFont="1" applyFill="1" applyBorder="1" applyAlignment="1">
      <alignment horizontal="left" vertical="center"/>
    </xf>
    <xf numFmtId="40" fontId="2" fillId="3" borderId="6" xfId="0" applyNumberFormat="1" applyFont="1" applyFill="1" applyBorder="1" applyAlignment="1">
      <alignment horizontal="left" vertical="center"/>
    </xf>
    <xf numFmtId="40" fontId="2" fillId="3" borderId="0" xfId="0" applyNumberFormat="1" applyFont="1" applyFill="1" applyAlignment="1">
      <alignment horizontal="left" vertical="center"/>
    </xf>
    <xf numFmtId="0" fontId="4" fillId="34" borderId="0" xfId="0" applyFont="1" applyFill="1" applyAlignment="1">
      <alignment horizontal="center" vertical="center"/>
    </xf>
    <xf numFmtId="186" fontId="30" fillId="3" borderId="32" xfId="0" quotePrefix="1" applyNumberFormat="1" applyFont="1" applyFill="1" applyBorder="1" applyAlignment="1">
      <alignment horizontal="left" vertical="center"/>
    </xf>
    <xf numFmtId="186" fontId="30" fillId="3" borderId="47" xfId="0" quotePrefix="1" applyNumberFormat="1" applyFont="1" applyFill="1" applyBorder="1" applyAlignment="1">
      <alignment horizontal="left" vertical="center"/>
    </xf>
    <xf numFmtId="186" fontId="30" fillId="3" borderId="36" xfId="0" quotePrefix="1" applyNumberFormat="1" applyFont="1" applyFill="1" applyBorder="1" applyAlignment="1">
      <alignment horizontal="center" vertical="center"/>
    </xf>
    <xf numFmtId="186" fontId="30" fillId="3" borderId="37" xfId="0" quotePrefix="1" applyNumberFormat="1" applyFont="1" applyFill="1" applyBorder="1" applyAlignment="1">
      <alignment horizontal="center" vertical="center"/>
    </xf>
    <xf numFmtId="186" fontId="30" fillId="3" borderId="34" xfId="0" quotePrefix="1" applyNumberFormat="1" applyFont="1" applyFill="1" applyBorder="1" applyAlignment="1">
      <alignment horizontal="center" vertical="center"/>
    </xf>
    <xf numFmtId="185" fontId="10" fillId="34" borderId="0" xfId="0" quotePrefix="1" applyNumberFormat="1" applyFont="1" applyFill="1" applyAlignment="1" applyProtection="1">
      <alignment horizontal="center" vertical="center"/>
      <protection locked="0"/>
    </xf>
    <xf numFmtId="180" fontId="4" fillId="14" borderId="42" xfId="0" applyNumberFormat="1" applyFont="1" applyFill="1" applyBorder="1" applyAlignment="1">
      <alignment horizontal="center" vertical="center"/>
    </xf>
    <xf numFmtId="177" fontId="4" fillId="14" borderId="46" xfId="0" applyNumberFormat="1" applyFont="1" applyFill="1" applyBorder="1" applyAlignment="1">
      <alignment horizontal="center" vertical="center"/>
    </xf>
    <xf numFmtId="177" fontId="4" fillId="14" borderId="47" xfId="0" applyNumberFormat="1" applyFont="1" applyFill="1" applyBorder="1" applyAlignment="1">
      <alignment horizontal="center" vertical="center"/>
    </xf>
    <xf numFmtId="0" fontId="43" fillId="3" borderId="9" xfId="0" quotePrefix="1" applyFont="1" applyFill="1" applyBorder="1" applyAlignment="1">
      <alignment horizontal="center" vertical="center" wrapText="1"/>
    </xf>
    <xf numFmtId="0" fontId="43" fillId="3" borderId="22" xfId="0" quotePrefix="1" applyFont="1" applyFill="1" applyBorder="1" applyAlignment="1">
      <alignment horizontal="center" vertical="center" wrapText="1"/>
    </xf>
    <xf numFmtId="0" fontId="30" fillId="3" borderId="48" xfId="0" quotePrefix="1" applyFont="1" applyFill="1" applyBorder="1" applyAlignment="1">
      <alignment horizontal="center" vertical="center" wrapText="1"/>
    </xf>
    <xf numFmtId="0" fontId="30" fillId="3" borderId="18" xfId="0" quotePrefix="1" applyFont="1" applyFill="1" applyBorder="1" applyAlignment="1">
      <alignment horizontal="center" vertical="center" wrapText="1"/>
    </xf>
    <xf numFmtId="0" fontId="27" fillId="32" borderId="32" xfId="0" applyFont="1" applyFill="1" applyBorder="1" applyAlignment="1">
      <alignment horizontal="center" vertical="center"/>
    </xf>
    <xf numFmtId="0" fontId="27" fillId="32" borderId="75" xfId="0" applyFont="1" applyFill="1" applyBorder="1" applyAlignment="1">
      <alignment horizontal="center" vertical="center"/>
    </xf>
    <xf numFmtId="40" fontId="2" fillId="3" borderId="37" xfId="0" applyNumberFormat="1" applyFont="1" applyFill="1" applyBorder="1" applyAlignment="1">
      <alignment horizontal="center" vertical="center"/>
    </xf>
    <xf numFmtId="40" fontId="39" fillId="28" borderId="12" xfId="0" applyNumberFormat="1" applyFont="1" applyFill="1" applyBorder="1" applyAlignment="1">
      <alignment horizontal="center" vertical="center"/>
    </xf>
    <xf numFmtId="40" fontId="40" fillId="3" borderId="37" xfId="0" applyNumberFormat="1" applyFont="1" applyFill="1" applyBorder="1" applyAlignment="1">
      <alignment horizontal="center" vertical="center"/>
    </xf>
    <xf numFmtId="40" fontId="2" fillId="3" borderId="74" xfId="0" applyNumberFormat="1" applyFont="1" applyFill="1" applyBorder="1" applyAlignment="1">
      <alignment horizontal="center" vertical="center"/>
    </xf>
    <xf numFmtId="40" fontId="26" fillId="3" borderId="42" xfId="0" applyNumberFormat="1" applyFont="1" applyFill="1" applyBorder="1" applyAlignment="1">
      <alignment horizontal="center" vertical="center"/>
    </xf>
    <xf numFmtId="40" fontId="25" fillId="3" borderId="49" xfId="0" applyNumberFormat="1" applyFont="1" applyFill="1" applyBorder="1" applyAlignment="1">
      <alignment horizontal="center" vertical="center"/>
    </xf>
    <xf numFmtId="40" fontId="25" fillId="3" borderId="33" xfId="0" applyNumberFormat="1" applyFont="1" applyFill="1" applyBorder="1" applyAlignment="1">
      <alignment horizontal="center" vertical="center"/>
    </xf>
    <xf numFmtId="40" fontId="25" fillId="3" borderId="22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36" fillId="29" borderId="6" xfId="0" quotePrefix="1" applyFont="1" applyFill="1" applyBorder="1" applyAlignment="1">
      <alignment horizontal="center" vertical="center"/>
    </xf>
    <xf numFmtId="0" fontId="36" fillId="29" borderId="11" xfId="0" applyFont="1" applyFill="1" applyBorder="1" applyAlignment="1">
      <alignment horizontal="center" vertical="center"/>
    </xf>
    <xf numFmtId="0" fontId="30" fillId="0" borderId="40" xfId="0" quotePrefix="1" applyFont="1" applyBorder="1" applyAlignment="1">
      <alignment horizontal="center" vertical="center"/>
    </xf>
    <xf numFmtId="0" fontId="30" fillId="0" borderId="4" xfId="0" quotePrefix="1" applyFont="1" applyBorder="1" applyAlignment="1">
      <alignment horizontal="center" vertical="center"/>
    </xf>
    <xf numFmtId="0" fontId="30" fillId="0" borderId="5" xfId="0" quotePrefix="1" applyFont="1" applyBorder="1" applyAlignment="1">
      <alignment horizontal="center" vertical="center"/>
    </xf>
    <xf numFmtId="176" fontId="34" fillId="30" borderId="7" xfId="0" applyNumberFormat="1" applyFont="1" applyFill="1" applyBorder="1" applyAlignment="1" applyProtection="1">
      <alignment horizontal="center" vertical="center"/>
      <protection locked="0"/>
    </xf>
    <xf numFmtId="176" fontId="34" fillId="30" borderId="14" xfId="0" applyNumberFormat="1" applyFont="1" applyFill="1" applyBorder="1" applyAlignment="1" applyProtection="1">
      <alignment horizontal="center" vertical="center"/>
      <protection locked="0"/>
    </xf>
    <xf numFmtId="0" fontId="36" fillId="29" borderId="7" xfId="0" quotePrefix="1" applyFont="1" applyFill="1" applyBorder="1" applyAlignment="1">
      <alignment horizontal="center" vertical="center"/>
    </xf>
    <xf numFmtId="0" fontId="36" fillId="29" borderId="14" xfId="0" applyFont="1" applyFill="1" applyBorder="1" applyAlignment="1">
      <alignment horizontal="center" vertical="center"/>
    </xf>
    <xf numFmtId="0" fontId="9" fillId="30" borderId="44" xfId="0" quotePrefix="1" applyFont="1" applyFill="1" applyBorder="1" applyAlignment="1" applyProtection="1">
      <alignment horizontal="center" vertical="center"/>
      <protection locked="0"/>
    </xf>
    <xf numFmtId="0" fontId="9" fillId="30" borderId="45" xfId="0" quotePrefix="1" applyFont="1" applyFill="1" applyBorder="1" applyAlignment="1" applyProtection="1">
      <alignment horizontal="center" vertical="center"/>
      <protection locked="0"/>
    </xf>
    <xf numFmtId="0" fontId="2" fillId="30" borderId="44" xfId="0" quotePrefix="1" applyFont="1" applyFill="1" applyBorder="1" applyAlignment="1">
      <alignment horizontal="center" vertical="center"/>
    </xf>
    <xf numFmtId="0" fontId="2" fillId="30" borderId="45" xfId="0" quotePrefix="1" applyFont="1" applyFill="1" applyBorder="1" applyAlignment="1">
      <alignment horizontal="center" vertical="center"/>
    </xf>
    <xf numFmtId="0" fontId="30" fillId="31" borderId="6" xfId="0" applyFont="1" applyFill="1" applyBorder="1" applyAlignment="1">
      <alignment horizontal="center" vertical="center"/>
    </xf>
    <xf numFmtId="0" fontId="30" fillId="31" borderId="11" xfId="0" applyFont="1" applyFill="1" applyBorder="1" applyAlignment="1">
      <alignment horizontal="center" vertical="center"/>
    </xf>
    <xf numFmtId="0" fontId="36" fillId="29" borderId="6" xfId="0" applyFont="1" applyFill="1" applyBorder="1" applyAlignment="1">
      <alignment horizontal="center" vertical="center"/>
    </xf>
    <xf numFmtId="0" fontId="4" fillId="30" borderId="1" xfId="0" applyFont="1" applyFill="1" applyBorder="1" applyAlignment="1">
      <alignment horizontal="center" vertical="center"/>
    </xf>
    <xf numFmtId="0" fontId="4" fillId="30" borderId="10" xfId="0" applyFont="1" applyFill="1" applyBorder="1" applyAlignment="1">
      <alignment horizontal="center" vertical="center"/>
    </xf>
    <xf numFmtId="0" fontId="4" fillId="30" borderId="6" xfId="0" applyFont="1" applyFill="1" applyBorder="1" applyAlignment="1">
      <alignment horizontal="center" vertical="center"/>
    </xf>
    <xf numFmtId="0" fontId="4" fillId="30" borderId="11" xfId="0" applyFont="1" applyFill="1" applyBorder="1" applyAlignment="1">
      <alignment horizontal="center" vertical="center"/>
    </xf>
    <xf numFmtId="40" fontId="53" fillId="3" borderId="2" xfId="0" applyNumberFormat="1" applyFont="1" applyFill="1" applyBorder="1" applyAlignment="1">
      <alignment horizontal="center" vertical="center"/>
    </xf>
    <xf numFmtId="40" fontId="53" fillId="3" borderId="12" xfId="0" applyNumberFormat="1" applyFont="1" applyFill="1" applyBorder="1" applyAlignment="1">
      <alignment horizontal="center" vertical="center"/>
    </xf>
    <xf numFmtId="0" fontId="37" fillId="32" borderId="32" xfId="0" applyFont="1" applyFill="1" applyBorder="1" applyAlignment="1" applyProtection="1">
      <alignment horizontal="center" vertical="center"/>
      <protection locked="0"/>
    </xf>
    <xf numFmtId="0" fontId="37" fillId="32" borderId="75" xfId="0" applyFont="1" applyFill="1" applyBorder="1" applyAlignment="1" applyProtection="1">
      <alignment horizontal="center" vertical="center"/>
      <protection locked="0"/>
    </xf>
    <xf numFmtId="40" fontId="29" fillId="6" borderId="91" xfId="0" applyNumberFormat="1" applyFont="1" applyFill="1" applyBorder="1" applyAlignment="1">
      <alignment horizontal="center" vertical="center"/>
    </xf>
    <xf numFmtId="40" fontId="29" fillId="6" borderId="37" xfId="0" applyNumberFormat="1" applyFont="1" applyFill="1" applyBorder="1" applyAlignment="1">
      <alignment horizontal="center" vertical="center"/>
    </xf>
    <xf numFmtId="40" fontId="29" fillId="6" borderId="34" xfId="0" applyNumberFormat="1" applyFont="1" applyFill="1" applyBorder="1" applyAlignment="1">
      <alignment horizontal="center" vertical="center"/>
    </xf>
    <xf numFmtId="0" fontId="30" fillId="0" borderId="76" xfId="0" quotePrefix="1" applyFont="1" applyBorder="1" applyAlignment="1">
      <alignment horizontal="center" vertical="center"/>
    </xf>
    <xf numFmtId="0" fontId="0" fillId="0" borderId="74" xfId="0" applyBorder="1" applyAlignment="1">
      <alignment vertical="center"/>
    </xf>
    <xf numFmtId="0" fontId="0" fillId="0" borderId="77" xfId="0" applyBorder="1" applyAlignment="1">
      <alignment vertical="center"/>
    </xf>
    <xf numFmtId="0" fontId="30" fillId="31" borderId="1" xfId="0" applyFont="1" applyFill="1" applyBorder="1" applyAlignment="1">
      <alignment horizontal="center" vertical="center"/>
    </xf>
    <xf numFmtId="0" fontId="30" fillId="31" borderId="10" xfId="0" applyFont="1" applyFill="1" applyBorder="1" applyAlignment="1">
      <alignment horizontal="center" vertical="center"/>
    </xf>
    <xf numFmtId="40" fontId="32" fillId="14" borderId="36" xfId="0" applyNumberFormat="1" applyFont="1" applyFill="1" applyBorder="1" applyAlignment="1">
      <alignment horizontal="center" vertical="center"/>
    </xf>
    <xf numFmtId="40" fontId="32" fillId="14" borderId="34" xfId="0" applyNumberFormat="1" applyFont="1" applyFill="1" applyBorder="1" applyAlignment="1">
      <alignment horizontal="center" vertical="center"/>
    </xf>
    <xf numFmtId="0" fontId="27" fillId="12" borderId="49" xfId="0" applyFont="1" applyFill="1" applyBorder="1" applyAlignment="1">
      <alignment horizontal="center" vertical="center"/>
    </xf>
    <xf numFmtId="0" fontId="27" fillId="12" borderId="50" xfId="0" applyFont="1" applyFill="1" applyBorder="1" applyAlignment="1">
      <alignment horizontal="center" vertical="center"/>
    </xf>
    <xf numFmtId="0" fontId="27" fillId="12" borderId="51" xfId="0" applyFont="1" applyFill="1" applyBorder="1" applyAlignment="1">
      <alignment horizontal="center" vertical="center"/>
    </xf>
    <xf numFmtId="0" fontId="20" fillId="40" borderId="1" xfId="0" quotePrefix="1" applyFont="1" applyFill="1" applyBorder="1" applyAlignment="1">
      <alignment horizontal="center" vertical="center"/>
    </xf>
    <xf numFmtId="0" fontId="20" fillId="40" borderId="2" xfId="0" quotePrefix="1" applyFont="1" applyFill="1" applyBorder="1" applyAlignment="1">
      <alignment horizontal="center" vertical="center"/>
    </xf>
    <xf numFmtId="0" fontId="20" fillId="40" borderId="71" xfId="0" quotePrefix="1" applyFont="1" applyFill="1" applyBorder="1" applyAlignment="1">
      <alignment horizontal="center" vertical="center"/>
    </xf>
    <xf numFmtId="0" fontId="20" fillId="40" borderId="21" xfId="0" quotePrefix="1" applyFont="1" applyFill="1" applyBorder="1" applyAlignment="1">
      <alignment horizontal="center" vertical="center"/>
    </xf>
    <xf numFmtId="2" fontId="20" fillId="40" borderId="2" xfId="0" quotePrefix="1" applyNumberFormat="1" applyFont="1" applyFill="1" applyBorder="1" applyAlignment="1">
      <alignment horizontal="center" vertical="center"/>
    </xf>
    <xf numFmtId="2" fontId="20" fillId="40" borderId="10" xfId="0" quotePrefix="1" applyNumberFormat="1" applyFont="1" applyFill="1" applyBorder="1" applyAlignment="1">
      <alignment horizontal="center" vertical="center"/>
    </xf>
    <xf numFmtId="2" fontId="20" fillId="40" borderId="21" xfId="0" quotePrefix="1" applyNumberFormat="1" applyFont="1" applyFill="1" applyBorder="1" applyAlignment="1">
      <alignment horizontal="center" vertical="center"/>
    </xf>
    <xf numFmtId="2" fontId="20" fillId="40" borderId="72" xfId="0" quotePrefix="1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/>
    </xf>
    <xf numFmtId="0" fontId="8" fillId="43" borderId="32" xfId="0" applyFont="1" applyFill="1" applyBorder="1" applyAlignment="1" applyProtection="1">
      <alignment horizontal="left" vertical="center"/>
      <protection locked="0"/>
    </xf>
    <xf numFmtId="0" fontId="9" fillId="3" borderId="9" xfId="0" applyFont="1" applyFill="1" applyBorder="1" applyAlignment="1">
      <alignment horizontal="left" vertical="center" wrapText="1"/>
    </xf>
    <xf numFmtId="0" fontId="9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8" fillId="43" borderId="46" xfId="0" applyFont="1" applyFill="1" applyBorder="1" applyAlignment="1">
      <alignment horizontal="left" vertical="center"/>
    </xf>
    <xf numFmtId="0" fontId="8" fillId="43" borderId="32" xfId="0" applyFont="1" applyFill="1" applyBorder="1" applyAlignment="1">
      <alignment horizontal="left" vertical="center"/>
    </xf>
    <xf numFmtId="167" fontId="5" fillId="3" borderId="46" xfId="0" applyNumberFormat="1" applyFont="1" applyFill="1" applyBorder="1" applyAlignment="1" applyProtection="1">
      <alignment horizontal="center"/>
      <protection locked="0"/>
    </xf>
    <xf numFmtId="167" fontId="5" fillId="3" borderId="32" xfId="0" applyNumberFormat="1" applyFont="1" applyFill="1" applyBorder="1" applyAlignment="1" applyProtection="1">
      <alignment horizontal="center"/>
      <protection locked="0"/>
    </xf>
    <xf numFmtId="167" fontId="5" fillId="3" borderId="47" xfId="0" applyNumberFormat="1" applyFont="1" applyFill="1" applyBorder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left" wrapText="1"/>
      <protection locked="0"/>
    </xf>
    <xf numFmtId="0" fontId="2" fillId="3" borderId="21" xfId="0" applyFont="1" applyFill="1" applyBorder="1" applyAlignment="1" applyProtection="1">
      <alignment horizontal="left" wrapText="1"/>
      <protection locked="0"/>
    </xf>
    <xf numFmtId="0" fontId="3" fillId="3" borderId="9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35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3" xfId="0" applyBorder="1" applyAlignment="1">
      <alignment wrapText="1"/>
    </xf>
    <xf numFmtId="0" fontId="2" fillId="46" borderId="48" xfId="0" applyFont="1" applyFill="1" applyBorder="1" applyAlignment="1">
      <alignment horizontal="center" vertical="center"/>
    </xf>
    <xf numFmtId="0" fontId="2" fillId="46" borderId="18" xfId="0" applyFont="1" applyFill="1" applyBorder="1" applyAlignment="1">
      <alignment horizontal="center" vertical="center"/>
    </xf>
    <xf numFmtId="0" fontId="15" fillId="46" borderId="48" xfId="0" applyFont="1" applyFill="1" applyBorder="1" applyAlignment="1">
      <alignment horizontal="center" vertical="center"/>
    </xf>
    <xf numFmtId="0" fontId="15" fillId="46" borderId="18" xfId="0" applyFont="1" applyFill="1" applyBorder="1" applyAlignment="1">
      <alignment horizontal="center" vertical="center"/>
    </xf>
    <xf numFmtId="0" fontId="2" fillId="3" borderId="50" xfId="0" applyFont="1" applyFill="1" applyBorder="1" applyAlignment="1" applyProtection="1">
      <alignment horizontal="right"/>
      <protection locked="0"/>
    </xf>
    <xf numFmtId="0" fontId="2" fillId="3" borderId="51" xfId="0" applyFont="1" applyFill="1" applyBorder="1" applyAlignment="1" applyProtection="1">
      <alignment horizontal="right"/>
      <protection locked="0"/>
    </xf>
    <xf numFmtId="0" fontId="20" fillId="42" borderId="0" xfId="0" applyFont="1" applyFill="1" applyAlignment="1" applyProtection="1">
      <alignment horizontal="center"/>
      <protection locked="0"/>
    </xf>
    <xf numFmtId="0" fontId="11" fillId="42" borderId="0" xfId="0" applyFont="1" applyFill="1" applyAlignment="1" applyProtection="1">
      <alignment horizontal="center"/>
      <protection locked="0"/>
    </xf>
    <xf numFmtId="0" fontId="5" fillId="3" borderId="46" xfId="0" applyFont="1" applyFill="1" applyBorder="1" applyAlignment="1" applyProtection="1">
      <alignment horizontal="left"/>
      <protection locked="0"/>
    </xf>
    <xf numFmtId="0" fontId="5" fillId="3" borderId="32" xfId="0" applyFont="1" applyFill="1" applyBorder="1" applyAlignment="1" applyProtection="1">
      <alignment horizontal="left"/>
      <protection locked="0"/>
    </xf>
    <xf numFmtId="0" fontId="5" fillId="3" borderId="47" xfId="0" applyFont="1" applyFill="1" applyBorder="1" applyAlignment="1" applyProtection="1">
      <alignment horizontal="left"/>
      <protection locked="0"/>
    </xf>
    <xf numFmtId="49" fontId="10" fillId="0" borderId="46" xfId="8" applyNumberFormat="1" applyFont="1" applyBorder="1" applyAlignment="1" applyProtection="1">
      <alignment horizontal="left"/>
      <protection locked="0"/>
    </xf>
    <xf numFmtId="49" fontId="10" fillId="0" borderId="32" xfId="8" applyNumberFormat="1" applyFont="1" applyBorder="1" applyAlignment="1" applyProtection="1">
      <alignment horizontal="left"/>
      <protection locked="0"/>
    </xf>
    <xf numFmtId="49" fontId="10" fillId="0" borderId="47" xfId="8" applyNumberFormat="1" applyFont="1" applyBorder="1" applyAlignment="1" applyProtection="1">
      <alignment horizontal="left"/>
      <protection locked="0"/>
    </xf>
    <xf numFmtId="167" fontId="10" fillId="0" borderId="46" xfId="0" applyNumberFormat="1" applyFont="1" applyBorder="1" applyAlignment="1" applyProtection="1">
      <alignment horizontal="center"/>
      <protection locked="0"/>
    </xf>
    <xf numFmtId="167" fontId="10" fillId="0" borderId="32" xfId="0" quotePrefix="1" applyNumberFormat="1" applyFont="1" applyBorder="1" applyAlignment="1" applyProtection="1">
      <alignment horizontal="center"/>
      <protection locked="0"/>
    </xf>
    <xf numFmtId="167" fontId="10" fillId="0" borderId="47" xfId="0" quotePrefix="1" applyNumberFormat="1" applyFont="1" applyBorder="1" applyAlignment="1" applyProtection="1">
      <alignment horizontal="center"/>
      <protection locked="0"/>
    </xf>
    <xf numFmtId="0" fontId="2" fillId="3" borderId="49" xfId="0" applyFont="1" applyFill="1" applyBorder="1" applyAlignment="1">
      <alignment horizontal="left" wrapText="1"/>
    </xf>
    <xf numFmtId="0" fontId="2" fillId="3" borderId="9" xfId="0" applyFont="1" applyFill="1" applyBorder="1" applyAlignment="1">
      <alignment horizontal="left" wrapText="1"/>
    </xf>
    <xf numFmtId="0" fontId="2" fillId="3" borderId="22" xfId="0" applyFont="1" applyFill="1" applyBorder="1" applyAlignment="1">
      <alignment horizontal="left" wrapText="1"/>
    </xf>
    <xf numFmtId="0" fontId="2" fillId="3" borderId="49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22" xfId="0" applyFont="1" applyFill="1" applyBorder="1" applyAlignment="1">
      <alignment horizontal="left" vertical="top" wrapText="1"/>
    </xf>
    <xf numFmtId="0" fontId="2" fillId="3" borderId="0" xfId="0" applyFont="1" applyFill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46" borderId="49" xfId="0" applyFont="1" applyFill="1" applyBorder="1" applyAlignment="1">
      <alignment vertical="center" wrapText="1"/>
    </xf>
    <xf numFmtId="0" fontId="2" fillId="46" borderId="9" xfId="0" applyFont="1" applyFill="1" applyBorder="1" applyAlignment="1">
      <alignment vertical="center" wrapText="1"/>
    </xf>
    <xf numFmtId="0" fontId="2" fillId="46" borderId="22" xfId="0" applyFont="1" applyFill="1" applyBorder="1" applyAlignment="1">
      <alignment vertical="center" wrapText="1"/>
    </xf>
    <xf numFmtId="40" fontId="27" fillId="41" borderId="0" xfId="0" applyNumberFormat="1" applyFont="1" applyFill="1" applyAlignment="1">
      <alignment horizontal="left"/>
    </xf>
    <xf numFmtId="0" fontId="27" fillId="41" borderId="0" xfId="0" applyFont="1" applyFill="1" applyAlignment="1">
      <alignment horizontal="left"/>
    </xf>
    <xf numFmtId="0" fontId="4" fillId="47" borderId="0" xfId="0" applyFont="1" applyFill="1" applyAlignment="1">
      <alignment horizontal="center"/>
    </xf>
    <xf numFmtId="38" fontId="71" fillId="3" borderId="21" xfId="14" quotePrefix="1" applyNumberFormat="1" applyFont="1" applyFill="1" applyBorder="1" applyAlignment="1">
      <alignment horizontal="center" vertical="top" wrapText="1"/>
    </xf>
    <xf numFmtId="38" fontId="71" fillId="3" borderId="23" xfId="14" quotePrefix="1" applyNumberFormat="1" applyFont="1" applyFill="1" applyBorder="1" applyAlignment="1">
      <alignment horizontal="center" vertical="top" wrapText="1"/>
    </xf>
    <xf numFmtId="40" fontId="20" fillId="0" borderId="78" xfId="13" applyNumberFormat="1" applyFont="1" applyBorder="1" applyAlignment="1">
      <alignment horizontal="center" vertical="center"/>
    </xf>
    <xf numFmtId="0" fontId="20" fillId="0" borderId="78" xfId="13" applyFont="1" applyBorder="1" applyAlignment="1">
      <alignment horizontal="center" vertical="center"/>
    </xf>
    <xf numFmtId="0" fontId="20" fillId="0" borderId="50" xfId="13" applyFont="1" applyBorder="1" applyAlignment="1">
      <alignment horizontal="center" vertical="center"/>
    </xf>
    <xf numFmtId="40" fontId="20" fillId="0" borderId="32" xfId="13" applyNumberFormat="1" applyFont="1" applyBorder="1" applyAlignment="1">
      <alignment horizontal="center" vertical="center"/>
    </xf>
    <xf numFmtId="40" fontId="20" fillId="0" borderId="47" xfId="13" applyNumberFormat="1" applyFont="1" applyBorder="1" applyAlignment="1">
      <alignment horizontal="center" vertical="center"/>
    </xf>
    <xf numFmtId="38" fontId="66" fillId="37" borderId="49" xfId="14" quotePrefix="1" applyNumberFormat="1" applyFont="1" applyFill="1" applyBorder="1" applyAlignment="1">
      <alignment horizontal="center" vertical="center"/>
    </xf>
    <xf numFmtId="38" fontId="66" fillId="37" borderId="50" xfId="14" quotePrefix="1" applyNumberFormat="1" applyFont="1" applyFill="1" applyBorder="1" applyAlignment="1">
      <alignment horizontal="center" vertical="center"/>
    </xf>
    <xf numFmtId="38" fontId="66" fillId="37" borderId="33" xfId="14" quotePrefix="1" applyNumberFormat="1" applyFont="1" applyFill="1" applyBorder="1" applyAlignment="1">
      <alignment horizontal="center" vertical="center"/>
    </xf>
    <xf numFmtId="38" fontId="66" fillId="37" borderId="22" xfId="14" quotePrefix="1" applyNumberFormat="1" applyFont="1" applyFill="1" applyBorder="1" applyAlignment="1">
      <alignment horizontal="center" vertical="center"/>
    </xf>
    <xf numFmtId="38" fontId="66" fillId="37" borderId="21" xfId="14" quotePrefix="1" applyNumberFormat="1" applyFont="1" applyFill="1" applyBorder="1" applyAlignment="1">
      <alignment horizontal="center" vertical="center"/>
    </xf>
    <xf numFmtId="38" fontId="66" fillId="37" borderId="23" xfId="14" quotePrefix="1" applyNumberFormat="1" applyFont="1" applyFill="1" applyBorder="1" applyAlignment="1">
      <alignment horizontal="center" vertical="center"/>
    </xf>
    <xf numFmtId="38" fontId="71" fillId="3" borderId="0" xfId="14" quotePrefix="1" applyNumberFormat="1" applyFont="1" applyFill="1" applyAlignment="1">
      <alignment horizontal="center" vertical="top" wrapText="1"/>
    </xf>
    <xf numFmtId="38" fontId="71" fillId="3" borderId="35" xfId="14" quotePrefix="1" applyNumberFormat="1" applyFont="1" applyFill="1" applyBorder="1" applyAlignment="1">
      <alignment horizontal="center" vertical="top" wrapText="1"/>
    </xf>
    <xf numFmtId="38" fontId="66" fillId="37" borderId="46" xfId="14" quotePrefix="1" applyNumberFormat="1" applyFont="1" applyFill="1" applyBorder="1" applyAlignment="1">
      <alignment horizontal="center" vertical="center"/>
    </xf>
    <xf numFmtId="38" fontId="66" fillId="37" borderId="32" xfId="14" quotePrefix="1" applyNumberFormat="1" applyFont="1" applyFill="1" applyBorder="1" applyAlignment="1">
      <alignment horizontal="center" vertical="center"/>
    </xf>
    <xf numFmtId="38" fontId="66" fillId="37" borderId="47" xfId="14" quotePrefix="1" applyNumberFormat="1" applyFont="1" applyFill="1" applyBorder="1" applyAlignment="1">
      <alignment horizontal="center" vertical="center"/>
    </xf>
    <xf numFmtId="38" fontId="71" fillId="3" borderId="50" xfId="14" quotePrefix="1" applyNumberFormat="1" applyFont="1" applyFill="1" applyBorder="1" applyAlignment="1">
      <alignment horizontal="center" vertical="top" wrapText="1"/>
    </xf>
    <xf numFmtId="38" fontId="71" fillId="3" borderId="33" xfId="14" quotePrefix="1" applyNumberFormat="1" applyFont="1" applyFill="1" applyBorder="1" applyAlignment="1">
      <alignment horizontal="center" vertical="top" wrapText="1"/>
    </xf>
  </cellXfs>
  <cellStyles count="16">
    <cellStyle name="Comma [0]_PPT Executivo - Dados Financ 2" xfId="15" xr:uid="{00000000-0005-0000-0000-000000000000}"/>
    <cellStyle name="Comma_PPT Executivo - Dados Financ 2" xfId="14" xr:uid="{00000000-0005-0000-0000-000001000000}"/>
    <cellStyle name="Normal" xfId="0" builtinId="0"/>
    <cellStyle name="Normal 2" xfId="1" xr:uid="{00000000-0005-0000-0000-000003000000}"/>
    <cellStyle name="Normal 2 2" xfId="12" xr:uid="{00000000-0005-0000-0000-000004000000}"/>
    <cellStyle name="Normal 3" xfId="2" xr:uid="{00000000-0005-0000-0000-000005000000}"/>
    <cellStyle name="Normal 4" xfId="3" xr:uid="{00000000-0005-0000-0000-000006000000}"/>
    <cellStyle name="Normal 5" xfId="11" xr:uid="{00000000-0005-0000-0000-000007000000}"/>
    <cellStyle name="Normal_Cosipa" xfId="4" xr:uid="{00000000-0005-0000-0000-000008000000}"/>
    <cellStyle name="Normal_PPT Executivo - Dados Financ" xfId="13" xr:uid="{00000000-0005-0000-0000-000009000000}"/>
    <cellStyle name="Porcentagem" xfId="5" builtinId="5"/>
    <cellStyle name="Porcentagem 2" xfId="6" xr:uid="{00000000-0005-0000-0000-00000B000000}"/>
    <cellStyle name="Porcentagem 3" xfId="7" xr:uid="{00000000-0005-0000-0000-00000C000000}"/>
    <cellStyle name="Vírgula" xfId="8" builtinId="3"/>
    <cellStyle name="Vírgula 2" xfId="9" xr:uid="{00000000-0005-0000-0000-00000E000000}"/>
    <cellStyle name="Vírgula 3" xfId="10" xr:uid="{00000000-0005-0000-0000-00000F000000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ndense val="0"/>
        <extend val="0"/>
        <color indexed="43"/>
      </font>
      <fill>
        <patternFill>
          <bgColor indexed="43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Drop" dropLines="20" dropStyle="combo" dx="22" fmlaLink="C12" fmlaRange="Country!$B$2:$B$118" noThreeD="1" sel="16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</xdr:row>
      <xdr:rowOff>95250</xdr:rowOff>
    </xdr:from>
    <xdr:to>
      <xdr:col>6</xdr:col>
      <xdr:colOff>19050</xdr:colOff>
      <xdr:row>1</xdr:row>
      <xdr:rowOff>95250</xdr:rowOff>
    </xdr:to>
    <xdr:sp macro="" textlink="">
      <xdr:nvSpPr>
        <xdr:cNvPr id="2520" name="Line 40">
          <a:extLst>
            <a:ext uri="{FF2B5EF4-FFF2-40B4-BE49-F238E27FC236}">
              <a16:creationId xmlns:a16="http://schemas.microsoft.com/office/drawing/2014/main" id="{00000000-0008-0000-0300-0000D8090000}"/>
            </a:ext>
          </a:extLst>
        </xdr:cNvPr>
        <xdr:cNvSpPr>
          <a:spLocks noChangeShapeType="1"/>
        </xdr:cNvSpPr>
      </xdr:nvSpPr>
      <xdr:spPr bwMode="auto">
        <a:xfrm>
          <a:off x="3486150" y="209550"/>
          <a:ext cx="180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228600</xdr:colOff>
      <xdr:row>2</xdr:row>
      <xdr:rowOff>28575</xdr:rowOff>
    </xdr:from>
    <xdr:to>
      <xdr:col>6</xdr:col>
      <xdr:colOff>1323975</xdr:colOff>
      <xdr:row>3</xdr:row>
      <xdr:rowOff>76200</xdr:rowOff>
    </xdr:to>
    <xdr:sp macro="" textlink="">
      <xdr:nvSpPr>
        <xdr:cNvPr id="2089" name="Rectangle 41">
          <a:extLst>
            <a:ext uri="{FF2B5EF4-FFF2-40B4-BE49-F238E27FC236}">
              <a16:creationId xmlns:a16="http://schemas.microsoft.com/office/drawing/2014/main" id="{00000000-0008-0000-0300-000029080000}"/>
            </a:ext>
          </a:extLst>
        </xdr:cNvPr>
        <xdr:cNvSpPr>
          <a:spLocks noChangeArrowheads="1"/>
        </xdr:cNvSpPr>
      </xdr:nvSpPr>
      <xdr:spPr bwMode="auto">
        <a:xfrm>
          <a:off x="3876675" y="352425"/>
          <a:ext cx="1095375" cy="190500"/>
        </a:xfrm>
        <a:prstGeom prst="rect">
          <a:avLst/>
        </a:prstGeom>
        <a:solidFill>
          <a:srgbClr val="FFFFF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Denotes Input Cells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114300</xdr:colOff>
      <xdr:row>0</xdr:row>
      <xdr:rowOff>95250</xdr:rowOff>
    </xdr:from>
    <xdr:to>
      <xdr:col>6</xdr:col>
      <xdr:colOff>1533525</xdr:colOff>
      <xdr:row>2</xdr:row>
      <xdr:rowOff>28575</xdr:rowOff>
    </xdr:to>
    <xdr:sp macro="" textlink="">
      <xdr:nvSpPr>
        <xdr:cNvPr id="2090" name="Rectangle 42">
          <a:extLst>
            <a:ext uri="{FF2B5EF4-FFF2-40B4-BE49-F238E27FC236}">
              <a16:creationId xmlns:a16="http://schemas.microsoft.com/office/drawing/2014/main" id="{00000000-0008-0000-0300-00002A080000}"/>
            </a:ext>
          </a:extLst>
        </xdr:cNvPr>
        <xdr:cNvSpPr>
          <a:spLocks noChangeArrowheads="1"/>
        </xdr:cNvSpPr>
      </xdr:nvSpPr>
      <xdr:spPr bwMode="auto">
        <a:xfrm>
          <a:off x="3762375" y="95250"/>
          <a:ext cx="1419225" cy="257175"/>
        </a:xfrm>
        <a:prstGeom prst="rect">
          <a:avLst/>
        </a:prstGeom>
        <a:solidFill>
          <a:srgbClr val="FFFFF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Denotes Input Cells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3</xdr:row>
      <xdr:rowOff>95250</xdr:rowOff>
    </xdr:from>
    <xdr:to>
      <xdr:col>9</xdr:col>
      <xdr:colOff>190500</xdr:colOff>
      <xdr:row>3</xdr:row>
      <xdr:rowOff>95250</xdr:rowOff>
    </xdr:to>
    <xdr:sp macro="" textlink="">
      <xdr:nvSpPr>
        <xdr:cNvPr id="1325" name="Line 2">
          <a:extLst>
            <a:ext uri="{FF2B5EF4-FFF2-40B4-BE49-F238E27FC236}">
              <a16:creationId xmlns:a16="http://schemas.microsoft.com/office/drawing/2014/main" id="{00000000-0008-0000-0400-00002D050000}"/>
            </a:ext>
          </a:extLst>
        </xdr:cNvPr>
        <xdr:cNvSpPr>
          <a:spLocks noChangeShapeType="1"/>
        </xdr:cNvSpPr>
      </xdr:nvSpPr>
      <xdr:spPr bwMode="auto">
        <a:xfrm>
          <a:off x="7896225" y="666750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266700</xdr:colOff>
      <xdr:row>2</xdr:row>
      <xdr:rowOff>66675</xdr:rowOff>
    </xdr:from>
    <xdr:to>
      <xdr:col>13</xdr:col>
      <xdr:colOff>31750</xdr:colOff>
      <xdr:row>5</xdr:row>
      <xdr:rowOff>47625</xdr:rowOff>
    </xdr:to>
    <xdr:sp macro="" textlink="">
      <xdr:nvSpPr>
        <xdr:cNvPr id="1027" name="Rectangle 3">
          <a:extLst>
            <a:ext uri="{FF2B5EF4-FFF2-40B4-BE49-F238E27FC236}">
              <a16:creationId xmlns:a16="http://schemas.microsoft.com/office/drawing/2014/main" id="{00000000-0008-0000-0400-000003040000}"/>
            </a:ext>
          </a:extLst>
        </xdr:cNvPr>
        <xdr:cNvSpPr>
          <a:spLocks noChangeArrowheads="1"/>
        </xdr:cNvSpPr>
      </xdr:nvSpPr>
      <xdr:spPr bwMode="auto">
        <a:xfrm>
          <a:off x="8278283" y="479425"/>
          <a:ext cx="1924050" cy="361950"/>
        </a:xfrm>
        <a:prstGeom prst="rect">
          <a:avLst/>
        </a:prstGeom>
        <a:solidFill>
          <a:srgbClr val="FFFFFF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US" sz="9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Células para preencher</a:t>
          </a: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1047750</xdr:colOff>
          <xdr:row>11</xdr:row>
          <xdr:rowOff>28575</xdr:rowOff>
        </xdr:from>
        <xdr:to>
          <xdr:col>3</xdr:col>
          <xdr:colOff>866775</xdr:colOff>
          <xdr:row>12</xdr:row>
          <xdr:rowOff>19050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ude.campos/Desktop/Planilha%20de%20rating%20-%20Modelo%202016%20v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 P&amp;L"/>
      <sheetName val="Sheet1"/>
    </sheetNames>
    <sheetDataSet>
      <sheetData sheetId="0">
        <row r="6">
          <cell r="J6">
            <v>41274</v>
          </cell>
          <cell r="K6">
            <v>1</v>
          </cell>
          <cell r="L6">
            <v>1</v>
          </cell>
          <cell r="M6">
            <v>1</v>
          </cell>
        </row>
        <row r="7">
          <cell r="J7">
            <v>41639</v>
          </cell>
          <cell r="K7">
            <v>1</v>
          </cell>
          <cell r="L7">
            <v>1</v>
          </cell>
          <cell r="M7">
            <v>1</v>
          </cell>
        </row>
        <row r="8">
          <cell r="J8">
            <v>42004</v>
          </cell>
          <cell r="K8">
            <v>1</v>
          </cell>
          <cell r="L8">
            <v>1</v>
          </cell>
          <cell r="M8">
            <v>1</v>
          </cell>
        </row>
        <row r="9">
          <cell r="J9">
            <v>42369</v>
          </cell>
          <cell r="K9">
            <v>1</v>
          </cell>
          <cell r="L9">
            <v>1</v>
          </cell>
          <cell r="M9">
            <v>1</v>
          </cell>
        </row>
        <row r="11">
          <cell r="D11">
            <v>3</v>
          </cell>
        </row>
        <row r="24">
          <cell r="D24">
            <v>41274</v>
          </cell>
          <cell r="E24">
            <v>41639</v>
          </cell>
          <cell r="F24">
            <v>42004</v>
          </cell>
          <cell r="G24">
            <v>42369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118"/>
  <sheetViews>
    <sheetView workbookViewId="0">
      <selection activeCell="C18" sqref="C18"/>
    </sheetView>
  </sheetViews>
  <sheetFormatPr defaultRowHeight="12.75" x14ac:dyDescent="0.2"/>
  <cols>
    <col min="2" max="2" width="17.7109375" bestFit="1" customWidth="1"/>
    <col min="3" max="3" width="18" customWidth="1"/>
  </cols>
  <sheetData>
    <row r="1" spans="1:3" x14ac:dyDescent="0.2">
      <c r="A1" t="s">
        <v>229</v>
      </c>
      <c r="B1" t="s">
        <v>25</v>
      </c>
      <c r="C1" t="s">
        <v>230</v>
      </c>
    </row>
    <row r="2" spans="1:3" x14ac:dyDescent="0.2">
      <c r="A2">
        <v>1</v>
      </c>
      <c r="B2" t="s">
        <v>231</v>
      </c>
      <c r="C2">
        <v>2</v>
      </c>
    </row>
    <row r="3" spans="1:3" x14ac:dyDescent="0.2">
      <c r="A3">
        <v>2</v>
      </c>
      <c r="B3" t="s">
        <v>171</v>
      </c>
      <c r="C3">
        <v>2</v>
      </c>
    </row>
    <row r="4" spans="1:3" x14ac:dyDescent="0.2">
      <c r="A4">
        <v>3</v>
      </c>
      <c r="B4" t="s">
        <v>26</v>
      </c>
      <c r="C4">
        <v>8</v>
      </c>
    </row>
    <row r="5" spans="1:3" x14ac:dyDescent="0.2">
      <c r="A5">
        <v>4</v>
      </c>
      <c r="B5" t="s">
        <v>27</v>
      </c>
      <c r="C5">
        <v>1</v>
      </c>
    </row>
    <row r="6" spans="1:3" x14ac:dyDescent="0.2">
      <c r="A6">
        <v>5</v>
      </c>
      <c r="B6" t="s">
        <v>28</v>
      </c>
      <c r="C6">
        <v>1</v>
      </c>
    </row>
    <row r="7" spans="1:3" x14ac:dyDescent="0.2">
      <c r="A7">
        <v>6</v>
      </c>
      <c r="B7" t="s">
        <v>29</v>
      </c>
      <c r="C7">
        <v>4</v>
      </c>
    </row>
    <row r="8" spans="1:3" x14ac:dyDescent="0.2">
      <c r="A8">
        <v>7</v>
      </c>
      <c r="B8" t="s">
        <v>30</v>
      </c>
      <c r="C8">
        <v>3</v>
      </c>
    </row>
    <row r="9" spans="1:3" x14ac:dyDescent="0.2">
      <c r="A9">
        <v>8</v>
      </c>
      <c r="B9" t="s">
        <v>172</v>
      </c>
      <c r="C9">
        <v>4</v>
      </c>
    </row>
    <row r="10" spans="1:3" x14ac:dyDescent="0.2">
      <c r="A10">
        <v>9</v>
      </c>
      <c r="B10" t="s">
        <v>31</v>
      </c>
      <c r="C10">
        <v>8</v>
      </c>
    </row>
    <row r="11" spans="1:3" x14ac:dyDescent="0.2">
      <c r="A11">
        <v>10</v>
      </c>
      <c r="B11" t="s">
        <v>32</v>
      </c>
      <c r="C11">
        <v>1</v>
      </c>
    </row>
    <row r="12" spans="1:3" x14ac:dyDescent="0.2">
      <c r="A12">
        <v>11</v>
      </c>
      <c r="B12" t="s">
        <v>173</v>
      </c>
      <c r="C12">
        <v>9</v>
      </c>
    </row>
    <row r="13" spans="1:3" x14ac:dyDescent="0.2">
      <c r="A13">
        <v>12</v>
      </c>
      <c r="B13" t="s">
        <v>174</v>
      </c>
      <c r="C13">
        <v>9</v>
      </c>
    </row>
    <row r="14" spans="1:3" x14ac:dyDescent="0.2">
      <c r="A14">
        <v>13</v>
      </c>
      <c r="B14" t="s">
        <v>175</v>
      </c>
      <c r="C14">
        <v>2</v>
      </c>
    </row>
    <row r="15" spans="1:3" x14ac:dyDescent="0.2">
      <c r="A15">
        <v>14</v>
      </c>
      <c r="B15" t="s">
        <v>33</v>
      </c>
      <c r="C15">
        <v>9</v>
      </c>
    </row>
    <row r="16" spans="1:3" x14ac:dyDescent="0.2">
      <c r="A16">
        <v>15</v>
      </c>
      <c r="B16" t="s">
        <v>34</v>
      </c>
      <c r="C16">
        <v>3</v>
      </c>
    </row>
    <row r="17" spans="1:3" x14ac:dyDescent="0.2">
      <c r="A17">
        <v>16</v>
      </c>
      <c r="B17" t="s">
        <v>35</v>
      </c>
      <c r="C17">
        <v>5</v>
      </c>
    </row>
    <row r="18" spans="1:3" x14ac:dyDescent="0.2">
      <c r="A18">
        <v>17</v>
      </c>
      <c r="B18" t="s">
        <v>36</v>
      </c>
      <c r="C18">
        <v>4</v>
      </c>
    </row>
    <row r="19" spans="1:3" x14ac:dyDescent="0.2">
      <c r="A19">
        <v>18</v>
      </c>
      <c r="B19" t="s">
        <v>37</v>
      </c>
      <c r="C19">
        <v>9</v>
      </c>
    </row>
    <row r="20" spans="1:3" x14ac:dyDescent="0.2">
      <c r="A20">
        <v>19</v>
      </c>
      <c r="B20" t="s">
        <v>176</v>
      </c>
      <c r="C20">
        <v>8</v>
      </c>
    </row>
    <row r="21" spans="1:3" x14ac:dyDescent="0.2">
      <c r="A21">
        <v>20</v>
      </c>
      <c r="B21" t="s">
        <v>38</v>
      </c>
      <c r="C21">
        <v>9</v>
      </c>
    </row>
    <row r="22" spans="1:3" x14ac:dyDescent="0.2">
      <c r="A22">
        <v>21</v>
      </c>
      <c r="B22" t="s">
        <v>39</v>
      </c>
      <c r="C22">
        <v>1</v>
      </c>
    </row>
    <row r="23" spans="1:3" x14ac:dyDescent="0.2">
      <c r="A23">
        <v>22</v>
      </c>
      <c r="B23" t="s">
        <v>40</v>
      </c>
      <c r="C23">
        <v>3</v>
      </c>
    </row>
    <row r="24" spans="1:3" x14ac:dyDescent="0.2">
      <c r="A24">
        <v>23</v>
      </c>
      <c r="B24" t="s">
        <v>177</v>
      </c>
      <c r="C24">
        <v>3</v>
      </c>
    </row>
    <row r="25" spans="1:3" x14ac:dyDescent="0.2">
      <c r="A25">
        <v>24</v>
      </c>
      <c r="B25" t="s">
        <v>178</v>
      </c>
      <c r="C25">
        <v>6</v>
      </c>
    </row>
    <row r="26" spans="1:3" x14ac:dyDescent="0.2">
      <c r="A26">
        <v>25</v>
      </c>
      <c r="B26" t="s">
        <v>232</v>
      </c>
      <c r="C26">
        <v>6</v>
      </c>
    </row>
    <row r="27" spans="1:3" x14ac:dyDescent="0.2">
      <c r="A27">
        <v>26</v>
      </c>
      <c r="B27" t="s">
        <v>41</v>
      </c>
      <c r="C27">
        <v>6</v>
      </c>
    </row>
    <row r="28" spans="1:3" x14ac:dyDescent="0.2">
      <c r="A28">
        <v>27</v>
      </c>
      <c r="B28" t="s">
        <v>42</v>
      </c>
      <c r="C28">
        <v>5</v>
      </c>
    </row>
    <row r="29" spans="1:3" x14ac:dyDescent="0.2">
      <c r="A29">
        <v>28</v>
      </c>
      <c r="B29" t="s">
        <v>43</v>
      </c>
      <c r="C29">
        <v>3</v>
      </c>
    </row>
    <row r="30" spans="1:3" x14ac:dyDescent="0.2">
      <c r="A30">
        <v>29</v>
      </c>
      <c r="B30" t="s">
        <v>44</v>
      </c>
      <c r="C30">
        <v>3</v>
      </c>
    </row>
    <row r="31" spans="1:3" x14ac:dyDescent="0.2">
      <c r="A31">
        <v>30</v>
      </c>
      <c r="B31" t="s">
        <v>45</v>
      </c>
      <c r="C31">
        <v>1</v>
      </c>
    </row>
    <row r="32" spans="1:3" x14ac:dyDescent="0.2">
      <c r="A32">
        <v>31</v>
      </c>
      <c r="B32" t="s">
        <v>233</v>
      </c>
      <c r="C32">
        <v>8</v>
      </c>
    </row>
    <row r="33" spans="1:3" x14ac:dyDescent="0.2">
      <c r="A33">
        <v>32</v>
      </c>
      <c r="B33" t="s">
        <v>46</v>
      </c>
      <c r="C33">
        <v>9</v>
      </c>
    </row>
    <row r="34" spans="1:3" x14ac:dyDescent="0.2">
      <c r="A34">
        <v>33</v>
      </c>
      <c r="B34" t="s">
        <v>47</v>
      </c>
      <c r="C34">
        <v>6</v>
      </c>
    </row>
    <row r="35" spans="1:3" x14ac:dyDescent="0.2">
      <c r="A35">
        <v>34</v>
      </c>
      <c r="B35" t="s">
        <v>48</v>
      </c>
      <c r="C35">
        <v>6</v>
      </c>
    </row>
    <row r="36" spans="1:3" x14ac:dyDescent="0.2">
      <c r="A36">
        <v>35</v>
      </c>
      <c r="B36" t="s">
        <v>49</v>
      </c>
      <c r="C36">
        <v>3</v>
      </c>
    </row>
    <row r="37" spans="1:3" x14ac:dyDescent="0.2">
      <c r="A37">
        <v>36</v>
      </c>
      <c r="B37" t="s">
        <v>234</v>
      </c>
      <c r="C37">
        <v>9</v>
      </c>
    </row>
    <row r="38" spans="1:3" x14ac:dyDescent="0.2">
      <c r="A38">
        <v>37</v>
      </c>
      <c r="B38" t="s">
        <v>50</v>
      </c>
      <c r="C38">
        <v>1</v>
      </c>
    </row>
    <row r="39" spans="1:3" x14ac:dyDescent="0.2">
      <c r="A39">
        <v>38</v>
      </c>
      <c r="B39" t="s">
        <v>51</v>
      </c>
      <c r="C39">
        <v>1</v>
      </c>
    </row>
    <row r="40" spans="1:3" x14ac:dyDescent="0.2">
      <c r="A40">
        <v>39</v>
      </c>
      <c r="B40" t="s">
        <v>235</v>
      </c>
      <c r="C40">
        <v>7</v>
      </c>
    </row>
    <row r="41" spans="1:3" x14ac:dyDescent="0.2">
      <c r="A41">
        <v>40</v>
      </c>
      <c r="B41" t="s">
        <v>179</v>
      </c>
      <c r="C41">
        <v>8</v>
      </c>
    </row>
    <row r="42" spans="1:3" x14ac:dyDescent="0.2">
      <c r="A42">
        <v>41</v>
      </c>
      <c r="B42" t="s">
        <v>52</v>
      </c>
      <c r="C42">
        <v>1</v>
      </c>
    </row>
    <row r="43" spans="1:3" x14ac:dyDescent="0.2">
      <c r="A43">
        <v>42</v>
      </c>
      <c r="B43" t="s">
        <v>53</v>
      </c>
      <c r="C43">
        <v>8</v>
      </c>
    </row>
    <row r="44" spans="1:3" x14ac:dyDescent="0.2">
      <c r="A44">
        <v>43</v>
      </c>
      <c r="B44" t="s">
        <v>54</v>
      </c>
      <c r="C44">
        <v>3</v>
      </c>
    </row>
    <row r="45" spans="1:3" x14ac:dyDescent="0.2">
      <c r="A45">
        <v>44</v>
      </c>
      <c r="B45" t="s">
        <v>180</v>
      </c>
      <c r="C45">
        <v>9</v>
      </c>
    </row>
    <row r="46" spans="1:3" x14ac:dyDescent="0.2">
      <c r="A46">
        <v>45</v>
      </c>
      <c r="B46" t="s">
        <v>55</v>
      </c>
      <c r="C46">
        <v>6</v>
      </c>
    </row>
    <row r="47" spans="1:3" x14ac:dyDescent="0.2">
      <c r="A47">
        <v>46</v>
      </c>
      <c r="B47" t="s">
        <v>236</v>
      </c>
      <c r="C47">
        <v>2</v>
      </c>
    </row>
    <row r="48" spans="1:3" x14ac:dyDescent="0.2">
      <c r="A48">
        <v>47</v>
      </c>
      <c r="B48" t="s">
        <v>56</v>
      </c>
      <c r="C48">
        <v>4</v>
      </c>
    </row>
    <row r="49" spans="1:3" x14ac:dyDescent="0.2">
      <c r="A49">
        <v>48</v>
      </c>
      <c r="B49" t="s">
        <v>57</v>
      </c>
      <c r="C49">
        <v>3</v>
      </c>
    </row>
    <row r="50" spans="1:3" x14ac:dyDescent="0.2">
      <c r="A50">
        <v>49</v>
      </c>
      <c r="B50" t="s">
        <v>58</v>
      </c>
      <c r="C50">
        <v>5</v>
      </c>
    </row>
    <row r="51" spans="1:3" x14ac:dyDescent="0.2">
      <c r="A51">
        <v>50</v>
      </c>
      <c r="B51" t="s">
        <v>59</v>
      </c>
      <c r="C51">
        <v>7</v>
      </c>
    </row>
    <row r="52" spans="1:3" x14ac:dyDescent="0.2">
      <c r="A52">
        <v>51</v>
      </c>
      <c r="B52" t="s">
        <v>60</v>
      </c>
      <c r="C52">
        <v>1</v>
      </c>
    </row>
    <row r="53" spans="1:3" x14ac:dyDescent="0.2">
      <c r="A53">
        <v>52</v>
      </c>
      <c r="B53" t="s">
        <v>237</v>
      </c>
      <c r="C53">
        <v>1</v>
      </c>
    </row>
    <row r="54" spans="1:3" x14ac:dyDescent="0.2">
      <c r="A54">
        <v>53</v>
      </c>
      <c r="B54" t="s">
        <v>61</v>
      </c>
      <c r="C54">
        <v>3</v>
      </c>
    </row>
    <row r="55" spans="1:3" x14ac:dyDescent="0.2">
      <c r="A55">
        <v>54</v>
      </c>
      <c r="B55" t="s">
        <v>62</v>
      </c>
      <c r="C55">
        <v>3</v>
      </c>
    </row>
    <row r="56" spans="1:3" x14ac:dyDescent="0.2">
      <c r="A56">
        <v>55</v>
      </c>
      <c r="B56" t="s">
        <v>63</v>
      </c>
      <c r="C56">
        <v>9</v>
      </c>
    </row>
    <row r="57" spans="1:3" x14ac:dyDescent="0.2">
      <c r="A57">
        <v>56</v>
      </c>
      <c r="B57" t="s">
        <v>64</v>
      </c>
      <c r="C57">
        <v>2</v>
      </c>
    </row>
    <row r="58" spans="1:3" x14ac:dyDescent="0.2">
      <c r="A58">
        <v>57</v>
      </c>
      <c r="B58" t="s">
        <v>65</v>
      </c>
      <c r="C58">
        <v>6</v>
      </c>
    </row>
    <row r="59" spans="1:3" x14ac:dyDescent="0.2">
      <c r="A59">
        <v>58</v>
      </c>
      <c r="B59" t="s">
        <v>66</v>
      </c>
      <c r="C59">
        <v>5</v>
      </c>
    </row>
    <row r="60" spans="1:3" x14ac:dyDescent="0.2">
      <c r="A60">
        <v>59</v>
      </c>
      <c r="B60" t="s">
        <v>67</v>
      </c>
      <c r="C60">
        <v>8</v>
      </c>
    </row>
    <row r="61" spans="1:3" x14ac:dyDescent="0.2">
      <c r="A61">
        <v>60</v>
      </c>
      <c r="B61" t="s">
        <v>238</v>
      </c>
      <c r="C61">
        <v>3</v>
      </c>
    </row>
    <row r="62" spans="1:3" x14ac:dyDescent="0.2">
      <c r="A62">
        <v>61</v>
      </c>
      <c r="B62" t="s">
        <v>68</v>
      </c>
      <c r="C62">
        <v>2</v>
      </c>
    </row>
    <row r="63" spans="1:3" x14ac:dyDescent="0.2">
      <c r="A63">
        <v>62</v>
      </c>
      <c r="B63" t="s">
        <v>69</v>
      </c>
      <c r="C63">
        <v>4</v>
      </c>
    </row>
    <row r="64" spans="1:3" x14ac:dyDescent="0.2">
      <c r="A64">
        <v>63</v>
      </c>
      <c r="B64" t="s">
        <v>70</v>
      </c>
      <c r="C64">
        <v>9</v>
      </c>
    </row>
    <row r="65" spans="1:3" x14ac:dyDescent="0.2">
      <c r="A65">
        <v>64</v>
      </c>
      <c r="B65" t="s">
        <v>181</v>
      </c>
      <c r="C65">
        <v>1</v>
      </c>
    </row>
    <row r="66" spans="1:3" x14ac:dyDescent="0.2">
      <c r="A66">
        <v>65</v>
      </c>
      <c r="B66" t="s">
        <v>71</v>
      </c>
      <c r="C66">
        <v>3</v>
      </c>
    </row>
    <row r="67" spans="1:3" x14ac:dyDescent="0.2">
      <c r="A67">
        <v>66</v>
      </c>
      <c r="B67" t="s">
        <v>72</v>
      </c>
      <c r="C67">
        <v>1</v>
      </c>
    </row>
    <row r="68" spans="1:3" x14ac:dyDescent="0.2">
      <c r="A68">
        <v>67</v>
      </c>
      <c r="B68" t="s">
        <v>239</v>
      </c>
      <c r="C68">
        <v>6</v>
      </c>
    </row>
    <row r="69" spans="1:3" x14ac:dyDescent="0.2">
      <c r="A69">
        <v>68</v>
      </c>
      <c r="B69" t="s">
        <v>73</v>
      </c>
      <c r="C69">
        <v>9</v>
      </c>
    </row>
    <row r="70" spans="1:3" x14ac:dyDescent="0.2">
      <c r="A70">
        <v>69</v>
      </c>
      <c r="B70" t="s">
        <v>74</v>
      </c>
      <c r="C70">
        <v>4</v>
      </c>
    </row>
    <row r="71" spans="1:3" x14ac:dyDescent="0.2">
      <c r="A71">
        <v>70</v>
      </c>
      <c r="B71" t="s">
        <v>75</v>
      </c>
      <c r="C71">
        <v>9</v>
      </c>
    </row>
    <row r="72" spans="1:3" x14ac:dyDescent="0.2">
      <c r="A72">
        <v>71</v>
      </c>
      <c r="B72" t="s">
        <v>76</v>
      </c>
      <c r="C72">
        <v>3</v>
      </c>
    </row>
    <row r="73" spans="1:3" x14ac:dyDescent="0.2">
      <c r="A73">
        <v>72</v>
      </c>
      <c r="B73" t="s">
        <v>77</v>
      </c>
      <c r="C73">
        <v>4</v>
      </c>
    </row>
    <row r="74" spans="1:3" x14ac:dyDescent="0.2">
      <c r="A74">
        <v>73</v>
      </c>
      <c r="B74" t="s">
        <v>78</v>
      </c>
      <c r="C74">
        <v>8</v>
      </c>
    </row>
    <row r="75" spans="1:3" x14ac:dyDescent="0.2">
      <c r="A75">
        <v>74</v>
      </c>
      <c r="B75" t="s">
        <v>240</v>
      </c>
      <c r="C75">
        <v>6</v>
      </c>
    </row>
    <row r="76" spans="1:3" x14ac:dyDescent="0.2">
      <c r="A76">
        <v>75</v>
      </c>
      <c r="B76" t="s">
        <v>241</v>
      </c>
      <c r="C76">
        <v>5</v>
      </c>
    </row>
    <row r="77" spans="1:3" x14ac:dyDescent="0.2">
      <c r="A77">
        <v>76</v>
      </c>
      <c r="B77" t="s">
        <v>79</v>
      </c>
      <c r="C77">
        <v>6</v>
      </c>
    </row>
    <row r="78" spans="1:3" x14ac:dyDescent="0.2">
      <c r="A78">
        <v>77</v>
      </c>
      <c r="B78" t="s">
        <v>80</v>
      </c>
      <c r="C78">
        <v>9</v>
      </c>
    </row>
    <row r="79" spans="1:3" x14ac:dyDescent="0.2">
      <c r="A79">
        <v>78</v>
      </c>
      <c r="B79" t="s">
        <v>81</v>
      </c>
      <c r="C79">
        <v>1</v>
      </c>
    </row>
    <row r="80" spans="1:3" x14ac:dyDescent="0.2">
      <c r="A80">
        <v>79</v>
      </c>
      <c r="B80" t="s">
        <v>82</v>
      </c>
      <c r="C80">
        <v>1</v>
      </c>
    </row>
    <row r="81" spans="1:3" x14ac:dyDescent="0.2">
      <c r="A81">
        <v>80</v>
      </c>
      <c r="B81" t="s">
        <v>83</v>
      </c>
      <c r="C81">
        <v>7</v>
      </c>
    </row>
    <row r="82" spans="1:3" x14ac:dyDescent="0.2">
      <c r="A82">
        <v>81</v>
      </c>
      <c r="B82" t="s">
        <v>84</v>
      </c>
      <c r="C82">
        <v>1</v>
      </c>
    </row>
    <row r="83" spans="1:3" x14ac:dyDescent="0.2">
      <c r="A83">
        <v>82</v>
      </c>
      <c r="B83" t="s">
        <v>242</v>
      </c>
      <c r="C83">
        <v>3</v>
      </c>
    </row>
    <row r="84" spans="1:3" x14ac:dyDescent="0.2">
      <c r="A84">
        <v>83</v>
      </c>
      <c r="B84" t="s">
        <v>85</v>
      </c>
      <c r="C84">
        <v>8</v>
      </c>
    </row>
    <row r="85" spans="1:3" x14ac:dyDescent="0.2">
      <c r="A85">
        <v>84</v>
      </c>
      <c r="B85" t="s">
        <v>86</v>
      </c>
      <c r="C85">
        <v>6</v>
      </c>
    </row>
    <row r="86" spans="1:3" x14ac:dyDescent="0.2">
      <c r="A86">
        <v>85</v>
      </c>
      <c r="B86" t="s">
        <v>87</v>
      </c>
      <c r="C86">
        <v>8</v>
      </c>
    </row>
    <row r="87" spans="1:3" x14ac:dyDescent="0.2">
      <c r="A87">
        <v>86</v>
      </c>
      <c r="B87" t="s">
        <v>88</v>
      </c>
      <c r="C87">
        <v>9</v>
      </c>
    </row>
    <row r="88" spans="1:3" x14ac:dyDescent="0.2">
      <c r="A88">
        <v>87</v>
      </c>
      <c r="B88" t="s">
        <v>89</v>
      </c>
      <c r="C88">
        <v>6</v>
      </c>
    </row>
    <row r="89" spans="1:3" x14ac:dyDescent="0.2">
      <c r="A89">
        <v>88</v>
      </c>
      <c r="B89" t="s">
        <v>182</v>
      </c>
      <c r="C89">
        <v>7</v>
      </c>
    </row>
    <row r="90" spans="1:3" x14ac:dyDescent="0.2">
      <c r="A90">
        <v>89</v>
      </c>
      <c r="B90" t="s">
        <v>90</v>
      </c>
      <c r="C90">
        <v>4</v>
      </c>
    </row>
    <row r="91" spans="1:3" x14ac:dyDescent="0.2">
      <c r="A91">
        <v>90</v>
      </c>
      <c r="B91" t="s">
        <v>91</v>
      </c>
      <c r="C91">
        <v>2</v>
      </c>
    </row>
    <row r="92" spans="1:3" x14ac:dyDescent="0.2">
      <c r="A92">
        <v>91</v>
      </c>
      <c r="B92" t="s">
        <v>92</v>
      </c>
      <c r="C92">
        <v>2</v>
      </c>
    </row>
    <row r="93" spans="1:3" x14ac:dyDescent="0.2">
      <c r="A93">
        <v>92</v>
      </c>
      <c r="B93" t="s">
        <v>93</v>
      </c>
      <c r="C93">
        <v>5</v>
      </c>
    </row>
    <row r="94" spans="1:3" x14ac:dyDescent="0.2">
      <c r="A94">
        <v>93</v>
      </c>
      <c r="B94" t="s">
        <v>183</v>
      </c>
      <c r="C94">
        <v>4</v>
      </c>
    </row>
    <row r="95" spans="1:3" x14ac:dyDescent="0.2">
      <c r="A95">
        <v>94</v>
      </c>
      <c r="B95" t="s">
        <v>94</v>
      </c>
      <c r="C95">
        <v>2</v>
      </c>
    </row>
    <row r="96" spans="1:3" x14ac:dyDescent="0.2">
      <c r="A96">
        <v>95</v>
      </c>
      <c r="B96" t="s">
        <v>95</v>
      </c>
      <c r="C96">
        <v>8</v>
      </c>
    </row>
    <row r="97" spans="1:3" x14ac:dyDescent="0.2">
      <c r="A97">
        <v>96</v>
      </c>
      <c r="B97" t="s">
        <v>243</v>
      </c>
      <c r="C97">
        <v>7</v>
      </c>
    </row>
    <row r="98" spans="1:3" x14ac:dyDescent="0.2">
      <c r="A98">
        <v>97</v>
      </c>
      <c r="B98" t="s">
        <v>184</v>
      </c>
      <c r="C98">
        <v>9</v>
      </c>
    </row>
    <row r="99" spans="1:3" x14ac:dyDescent="0.2">
      <c r="A99">
        <v>98</v>
      </c>
      <c r="B99" t="s">
        <v>185</v>
      </c>
      <c r="C99">
        <v>1</v>
      </c>
    </row>
    <row r="100" spans="1:3" x14ac:dyDescent="0.2">
      <c r="A100">
        <v>99</v>
      </c>
      <c r="B100" t="s">
        <v>244</v>
      </c>
      <c r="C100">
        <v>3</v>
      </c>
    </row>
    <row r="101" spans="1:3" x14ac:dyDescent="0.2">
      <c r="A101">
        <v>100</v>
      </c>
      <c r="B101" t="s">
        <v>96</v>
      </c>
      <c r="C101">
        <v>2</v>
      </c>
    </row>
    <row r="102" spans="1:3" x14ac:dyDescent="0.2">
      <c r="A102">
        <v>101</v>
      </c>
      <c r="B102" t="s">
        <v>97</v>
      </c>
      <c r="C102">
        <v>4</v>
      </c>
    </row>
    <row r="103" spans="1:3" x14ac:dyDescent="0.2">
      <c r="A103">
        <v>102</v>
      </c>
      <c r="B103" t="s">
        <v>98</v>
      </c>
      <c r="C103">
        <v>1</v>
      </c>
    </row>
    <row r="104" spans="1:3" x14ac:dyDescent="0.2">
      <c r="A104">
        <v>103</v>
      </c>
      <c r="B104" t="s">
        <v>99</v>
      </c>
      <c r="C104">
        <v>8</v>
      </c>
    </row>
    <row r="105" spans="1:3" x14ac:dyDescent="0.2">
      <c r="A105">
        <v>104</v>
      </c>
      <c r="B105" t="s">
        <v>100</v>
      </c>
      <c r="C105">
        <v>8</v>
      </c>
    </row>
    <row r="106" spans="1:3" x14ac:dyDescent="0.2">
      <c r="A106">
        <v>105</v>
      </c>
      <c r="B106" t="s">
        <v>101</v>
      </c>
      <c r="C106">
        <v>1</v>
      </c>
    </row>
    <row r="107" spans="1:3" x14ac:dyDescent="0.2">
      <c r="A107">
        <v>106</v>
      </c>
      <c r="B107" t="s">
        <v>102</v>
      </c>
      <c r="C107">
        <v>1</v>
      </c>
    </row>
    <row r="108" spans="1:3" x14ac:dyDescent="0.2">
      <c r="A108">
        <v>107</v>
      </c>
      <c r="B108" t="s">
        <v>103</v>
      </c>
      <c r="C108">
        <v>2</v>
      </c>
    </row>
    <row r="109" spans="1:3" x14ac:dyDescent="0.2">
      <c r="A109">
        <v>108</v>
      </c>
      <c r="B109" t="s">
        <v>104</v>
      </c>
      <c r="C109">
        <v>4</v>
      </c>
    </row>
    <row r="110" spans="1:3" x14ac:dyDescent="0.2">
      <c r="A110">
        <v>109</v>
      </c>
      <c r="B110" t="s">
        <v>245</v>
      </c>
      <c r="C110">
        <v>4</v>
      </c>
    </row>
    <row r="111" spans="1:3" x14ac:dyDescent="0.2">
      <c r="A111">
        <v>110</v>
      </c>
      <c r="B111" t="s">
        <v>105</v>
      </c>
      <c r="C111">
        <v>5</v>
      </c>
    </row>
    <row r="112" spans="1:3" x14ac:dyDescent="0.2">
      <c r="A112">
        <v>111</v>
      </c>
      <c r="B112" t="s">
        <v>106</v>
      </c>
      <c r="C112">
        <v>7</v>
      </c>
    </row>
    <row r="113" spans="1:3" x14ac:dyDescent="0.2">
      <c r="A113">
        <v>112</v>
      </c>
      <c r="B113" t="s">
        <v>107</v>
      </c>
      <c r="C113">
        <v>7</v>
      </c>
    </row>
    <row r="114" spans="1:3" x14ac:dyDescent="0.2">
      <c r="A114">
        <v>113</v>
      </c>
      <c r="B114" t="s">
        <v>108</v>
      </c>
      <c r="C114">
        <v>1</v>
      </c>
    </row>
    <row r="115" spans="1:3" x14ac:dyDescent="0.2">
      <c r="A115">
        <v>114</v>
      </c>
      <c r="B115" t="s">
        <v>109</v>
      </c>
      <c r="C115">
        <v>1</v>
      </c>
    </row>
    <row r="116" spans="1:3" x14ac:dyDescent="0.2">
      <c r="A116">
        <v>115</v>
      </c>
      <c r="B116" t="s">
        <v>110</v>
      </c>
      <c r="C116">
        <v>8</v>
      </c>
    </row>
    <row r="117" spans="1:3" x14ac:dyDescent="0.2">
      <c r="A117">
        <v>116</v>
      </c>
      <c r="B117" t="s">
        <v>111</v>
      </c>
      <c r="C117">
        <v>7</v>
      </c>
    </row>
    <row r="118" spans="1:3" x14ac:dyDescent="0.2">
      <c r="A118">
        <v>117</v>
      </c>
      <c r="B118" t="s">
        <v>112</v>
      </c>
      <c r="C118">
        <v>6</v>
      </c>
    </row>
  </sheetData>
  <phoneticPr fontId="3" type="noConversion"/>
  <pageMargins left="0.78740157499999996" right="0.78740157499999996" top="0.984251969" bottom="0.984251969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326"/>
  <sheetViews>
    <sheetView zoomScale="85" zoomScaleNormal="85" zoomScaleSheetLayoutView="80" workbookViewId="0">
      <selection activeCell="D30" sqref="D30:L30"/>
    </sheetView>
  </sheetViews>
  <sheetFormatPr defaultRowHeight="12.75" x14ac:dyDescent="0.2"/>
  <cols>
    <col min="1" max="1" width="0.5703125" style="6" customWidth="1"/>
    <col min="2" max="2" width="8.140625" style="6" customWidth="1"/>
    <col min="3" max="3" width="46.42578125" style="6" customWidth="1"/>
    <col min="4" max="4" width="19" style="6" customWidth="1"/>
    <col min="5" max="5" width="15" style="6" customWidth="1"/>
    <col min="6" max="6" width="15.7109375" style="6" customWidth="1"/>
    <col min="7" max="7" width="18" style="6" customWidth="1"/>
    <col min="8" max="8" width="15.85546875" style="6" customWidth="1"/>
    <col min="9" max="9" width="18.5703125" style="6" customWidth="1"/>
    <col min="10" max="10" width="9.140625" style="6"/>
    <col min="11" max="11" width="13.140625" style="6" bestFit="1" customWidth="1"/>
    <col min="12" max="16384" width="9.140625" style="6"/>
  </cols>
  <sheetData>
    <row r="1" spans="1:9" ht="15.75" x14ac:dyDescent="0.25">
      <c r="A1" s="5"/>
      <c r="B1" s="70" t="s">
        <v>665</v>
      </c>
      <c r="C1" s="71"/>
      <c r="D1" s="71"/>
      <c r="E1" s="71"/>
      <c r="F1" s="71"/>
      <c r="G1" s="71"/>
      <c r="H1" s="71"/>
      <c r="I1" s="71"/>
    </row>
    <row r="2" spans="1:9" ht="15.75" x14ac:dyDescent="0.25">
      <c r="A2" s="5"/>
      <c r="B2" s="982" t="s">
        <v>267</v>
      </c>
      <c r="C2" s="982"/>
      <c r="D2" s="982"/>
      <c r="E2" s="982"/>
      <c r="F2" s="982"/>
      <c r="G2" s="982"/>
      <c r="H2" s="982"/>
      <c r="I2" s="982"/>
    </row>
    <row r="3" spans="1:9" x14ac:dyDescent="0.2">
      <c r="A3" s="5"/>
      <c r="C3" s="5"/>
      <c r="D3" s="7"/>
      <c r="E3" s="8"/>
      <c r="F3" s="7"/>
      <c r="G3" s="8"/>
      <c r="H3" s="7"/>
    </row>
    <row r="4" spans="1:9" x14ac:dyDescent="0.2">
      <c r="A4" s="5"/>
      <c r="B4" s="9"/>
      <c r="C4" s="10"/>
      <c r="F4" s="11"/>
      <c r="G4" s="12"/>
      <c r="H4" s="11"/>
    </row>
    <row r="5" spans="1:9" ht="12.75" customHeight="1" x14ac:dyDescent="0.2">
      <c r="A5" s="5"/>
      <c r="B5" s="13" t="s">
        <v>268</v>
      </c>
      <c r="C5" s="14" t="s">
        <v>688</v>
      </c>
      <c r="D5" s="15">
        <v>41639</v>
      </c>
      <c r="E5" s="11" t="s">
        <v>269</v>
      </c>
      <c r="F5" s="16">
        <v>42004</v>
      </c>
      <c r="G5" s="11" t="s">
        <v>269</v>
      </c>
      <c r="H5" s="16">
        <v>42369</v>
      </c>
      <c r="I5" s="11" t="s">
        <v>269</v>
      </c>
    </row>
    <row r="6" spans="1:9" x14ac:dyDescent="0.2">
      <c r="A6" s="5"/>
      <c r="B6" s="13" t="s">
        <v>270</v>
      </c>
      <c r="C6" s="17"/>
      <c r="D6" s="16" t="s">
        <v>271</v>
      </c>
      <c r="E6" s="11"/>
      <c r="F6" s="16" t="s">
        <v>271</v>
      </c>
      <c r="G6" s="11"/>
      <c r="H6" s="16" t="s">
        <v>271</v>
      </c>
      <c r="I6" s="11"/>
    </row>
    <row r="7" spans="1:9" x14ac:dyDescent="0.2">
      <c r="A7" s="5"/>
      <c r="B7" s="9"/>
      <c r="D7" s="69">
        <v>12</v>
      </c>
      <c r="E7" s="6" t="s">
        <v>251</v>
      </c>
      <c r="F7" s="69">
        <v>12</v>
      </c>
      <c r="G7" s="12"/>
      <c r="H7" s="69">
        <v>12</v>
      </c>
    </row>
    <row r="8" spans="1:9" ht="13.5" thickBot="1" x14ac:dyDescent="0.25">
      <c r="A8" s="5"/>
      <c r="B8" s="9"/>
      <c r="G8" s="12"/>
    </row>
    <row r="9" spans="1:9" x14ac:dyDescent="0.2">
      <c r="A9" s="5"/>
      <c r="B9" s="18"/>
      <c r="C9" s="19"/>
      <c r="D9" s="21"/>
      <c r="E9" s="37"/>
      <c r="F9" s="127"/>
      <c r="G9" s="21"/>
      <c r="H9" s="52"/>
      <c r="I9" s="52"/>
    </row>
    <row r="10" spans="1:9" x14ac:dyDescent="0.2">
      <c r="A10" s="5"/>
      <c r="B10" s="25" t="s">
        <v>272</v>
      </c>
      <c r="C10" s="295" t="s">
        <v>273</v>
      </c>
      <c r="D10" s="131"/>
      <c r="E10" s="26"/>
      <c r="F10" s="115">
        <v>0</v>
      </c>
      <c r="G10" s="298">
        <f t="shared" ref="G10:G16" si="0">IF(D10=0,0,IF(D10&lt;0,(F10/D10-1)*-1,(F10/D10-1)*1))</f>
        <v>0</v>
      </c>
      <c r="H10" s="115">
        <v>0</v>
      </c>
      <c r="I10" s="299">
        <f t="shared" ref="I10:I16" si="1">IF(F10=0,0,IF(F10&lt;0,(H10/F10-1)*-1,(H10/F10-1)*1))</f>
        <v>0</v>
      </c>
    </row>
    <row r="11" spans="1:9" x14ac:dyDescent="0.2">
      <c r="A11" s="5"/>
      <c r="B11" s="25" t="s">
        <v>274</v>
      </c>
      <c r="C11" s="295" t="s">
        <v>407</v>
      </c>
      <c r="D11" s="131"/>
      <c r="E11" s="26"/>
      <c r="F11" s="115">
        <v>0</v>
      </c>
      <c r="G11" s="298">
        <f t="shared" si="0"/>
        <v>0</v>
      </c>
      <c r="H11" s="115">
        <v>0</v>
      </c>
      <c r="I11" s="299">
        <f t="shared" si="1"/>
        <v>0</v>
      </c>
    </row>
    <row r="12" spans="1:9" x14ac:dyDescent="0.2">
      <c r="A12" s="5"/>
      <c r="B12" s="25" t="s">
        <v>275</v>
      </c>
      <c r="C12" s="295" t="s">
        <v>408</v>
      </c>
      <c r="D12" s="131">
        <v>0</v>
      </c>
      <c r="E12" s="26"/>
      <c r="F12" s="115">
        <v>0</v>
      </c>
      <c r="G12" s="298">
        <f t="shared" si="0"/>
        <v>0</v>
      </c>
      <c r="H12" s="115">
        <v>0</v>
      </c>
      <c r="I12" s="299">
        <f t="shared" si="1"/>
        <v>0</v>
      </c>
    </row>
    <row r="13" spans="1:9" x14ac:dyDescent="0.2">
      <c r="A13" s="5"/>
      <c r="B13" s="25" t="s">
        <v>276</v>
      </c>
      <c r="C13" s="295" t="s">
        <v>277</v>
      </c>
      <c r="D13" s="131"/>
      <c r="E13" s="26"/>
      <c r="F13" s="115">
        <v>0</v>
      </c>
      <c r="G13" s="298">
        <f t="shared" si="0"/>
        <v>0</v>
      </c>
      <c r="H13" s="115">
        <v>0</v>
      </c>
      <c r="I13" s="299">
        <f t="shared" si="1"/>
        <v>0</v>
      </c>
    </row>
    <row r="14" spans="1:9" x14ac:dyDescent="0.2">
      <c r="A14" s="5"/>
      <c r="B14" s="25" t="s">
        <v>278</v>
      </c>
      <c r="C14" s="295" t="s">
        <v>409</v>
      </c>
      <c r="D14" s="131"/>
      <c r="E14" s="26"/>
      <c r="F14" s="115">
        <v>0</v>
      </c>
      <c r="G14" s="298">
        <f t="shared" si="0"/>
        <v>0</v>
      </c>
      <c r="H14" s="115">
        <v>0</v>
      </c>
      <c r="I14" s="299">
        <f t="shared" si="1"/>
        <v>0</v>
      </c>
    </row>
    <row r="15" spans="1:9" x14ac:dyDescent="0.2">
      <c r="A15" s="5"/>
      <c r="B15" s="25"/>
      <c r="C15" s="295" t="s">
        <v>279</v>
      </c>
      <c r="D15" s="131"/>
      <c r="E15" s="26"/>
      <c r="F15" s="115">
        <v>0</v>
      </c>
      <c r="G15" s="298">
        <f t="shared" si="0"/>
        <v>0</v>
      </c>
      <c r="H15" s="115">
        <v>0</v>
      </c>
      <c r="I15" s="299">
        <f t="shared" si="1"/>
        <v>0</v>
      </c>
    </row>
    <row r="16" spans="1:9" x14ac:dyDescent="0.2">
      <c r="A16" s="5"/>
      <c r="B16" s="25"/>
      <c r="C16" s="295" t="s">
        <v>400</v>
      </c>
      <c r="D16" s="131">
        <v>0</v>
      </c>
      <c r="E16" s="26"/>
      <c r="F16" s="115">
        <v>0</v>
      </c>
      <c r="G16" s="298">
        <f t="shared" si="0"/>
        <v>0</v>
      </c>
      <c r="H16" s="115">
        <v>0</v>
      </c>
      <c r="I16" s="299">
        <f t="shared" si="1"/>
        <v>0</v>
      </c>
    </row>
    <row r="17" spans="1:9" x14ac:dyDescent="0.2">
      <c r="A17" s="5"/>
      <c r="B17" s="25"/>
      <c r="C17" s="300"/>
      <c r="D17" s="114"/>
      <c r="E17" s="27"/>
      <c r="F17" s="114"/>
      <c r="G17" s="302"/>
      <c r="H17" s="114"/>
      <c r="I17" s="303"/>
    </row>
    <row r="18" spans="1:9" x14ac:dyDescent="0.2">
      <c r="A18" s="5"/>
      <c r="B18" s="80" t="s">
        <v>280</v>
      </c>
      <c r="C18" s="304" t="s">
        <v>281</v>
      </c>
      <c r="D18" s="98">
        <f>SUM(D10+D11+D12+D13+D14+D15+D16)</f>
        <v>0</v>
      </c>
      <c r="E18" s="118"/>
      <c r="F18" s="98">
        <f>SUM(F10+F11+F12+F13+F14+F15+F16)</f>
        <v>0</v>
      </c>
      <c r="G18" s="307">
        <f>IF(D18=0,0,IF(D18&lt;0,(F18/D18-1)*-1,(F18/D18-1)*1))</f>
        <v>0</v>
      </c>
      <c r="H18" s="98">
        <f>SUM(H10+H11+H12+H13+H14+H15+H16)</f>
        <v>0</v>
      </c>
      <c r="I18" s="308">
        <f>IF(F18=0,0,IF(F18&lt;0,(H18/F18-1)*-1,(H18/F18-1)*1))</f>
        <v>0</v>
      </c>
    </row>
    <row r="19" spans="1:9" x14ac:dyDescent="0.2">
      <c r="A19" s="5"/>
      <c r="B19" s="25"/>
      <c r="C19" s="300"/>
      <c r="D19" s="114"/>
      <c r="E19" s="119"/>
      <c r="F19" s="114"/>
      <c r="G19" s="310"/>
      <c r="H19" s="114"/>
      <c r="I19" s="303"/>
    </row>
    <row r="20" spans="1:9" x14ac:dyDescent="0.2">
      <c r="A20" s="5"/>
      <c r="B20" s="25" t="s">
        <v>282</v>
      </c>
      <c r="C20" s="295" t="s">
        <v>283</v>
      </c>
      <c r="D20" s="131">
        <v>0</v>
      </c>
      <c r="E20" s="101"/>
      <c r="F20" s="115">
        <v>0</v>
      </c>
      <c r="G20" s="312">
        <f>IF(D20=0,0,IF(D20&lt;0,(F20/D20-1)*-1,(F20/D20-1)*1))</f>
        <v>0</v>
      </c>
      <c r="H20" s="115">
        <v>0</v>
      </c>
      <c r="I20" s="299">
        <f>IF(F20=0,0,IF(F20&lt;0,(H20/F20-1)*-1,(H20/F20-1)*1))</f>
        <v>0</v>
      </c>
    </row>
    <row r="21" spans="1:9" x14ac:dyDescent="0.2">
      <c r="A21" s="5"/>
      <c r="B21" s="25" t="s">
        <v>284</v>
      </c>
      <c r="C21" s="295" t="s">
        <v>285</v>
      </c>
      <c r="D21" s="131"/>
      <c r="E21" s="101"/>
      <c r="F21" s="115">
        <v>0</v>
      </c>
      <c r="G21" s="312">
        <f>IF(D21=0,0,IF(D21&lt;0,(F21/D21-1)*-1,(F21/D21-1)*1))</f>
        <v>0</v>
      </c>
      <c r="H21" s="115">
        <v>0</v>
      </c>
      <c r="I21" s="299">
        <f>IF(F21=0,0,IF(F21&lt;0,(H21/F21-1)*-1,(H21/F21-1)*1))</f>
        <v>0</v>
      </c>
    </row>
    <row r="22" spans="1:9" x14ac:dyDescent="0.2">
      <c r="A22" s="5"/>
      <c r="B22" s="25"/>
      <c r="C22" s="300"/>
      <c r="D22" s="114"/>
      <c r="E22" s="119"/>
      <c r="F22" s="114"/>
      <c r="G22" s="310"/>
      <c r="H22" s="114"/>
      <c r="I22" s="303"/>
    </row>
    <row r="23" spans="1:9" x14ac:dyDescent="0.2">
      <c r="A23" s="5"/>
      <c r="B23" s="80" t="s">
        <v>286</v>
      </c>
      <c r="C23" s="304" t="s">
        <v>287</v>
      </c>
      <c r="D23" s="98">
        <f>SUM(D20+D21)</f>
        <v>0</v>
      </c>
      <c r="E23" s="118"/>
      <c r="F23" s="98">
        <f>SUM(F20+F21)</f>
        <v>0</v>
      </c>
      <c r="G23" s="307">
        <f>IF(D23=0,0,IF(D23&lt;0,(F23/D23-1)*-1,(F23/D23-1)*1))</f>
        <v>0</v>
      </c>
      <c r="H23" s="98">
        <f>SUM(H20+H21)</f>
        <v>0</v>
      </c>
      <c r="I23" s="308">
        <f>IF(F23=0,0,IF(F23&lt;0,(H23/F23-1)*-1,(H23/F23-1)*1))</f>
        <v>0</v>
      </c>
    </row>
    <row r="24" spans="1:9" x14ac:dyDescent="0.2">
      <c r="A24" s="5"/>
      <c r="B24" s="25"/>
      <c r="C24" s="300"/>
      <c r="D24" s="114"/>
      <c r="E24" s="119"/>
      <c r="F24" s="114"/>
      <c r="G24" s="310"/>
      <c r="H24" s="114"/>
      <c r="I24" s="303"/>
    </row>
    <row r="25" spans="1:9" x14ac:dyDescent="0.2">
      <c r="A25" s="5"/>
      <c r="B25" s="25" t="s">
        <v>288</v>
      </c>
      <c r="C25" s="295" t="s">
        <v>289</v>
      </c>
      <c r="D25" s="131"/>
      <c r="E25" s="101"/>
      <c r="F25" s="115">
        <v>0</v>
      </c>
      <c r="G25" s="312">
        <f t="shared" ref="G25:G30" si="2">IF(D25=0,0,IF(D25&lt;0,(F25/D25-1)*-1,(F25/D25-1)*1))</f>
        <v>0</v>
      </c>
      <c r="H25" s="115">
        <v>0</v>
      </c>
      <c r="I25" s="299">
        <f t="shared" ref="I25:I30" si="3">IF(F25=0,0,IF(F25&lt;0,(H25/F25-1)*-1,(H25/F25-1)*1))</f>
        <v>0</v>
      </c>
    </row>
    <row r="26" spans="1:9" x14ac:dyDescent="0.2">
      <c r="A26" s="5"/>
      <c r="B26" s="29">
        <v>11</v>
      </c>
      <c r="C26" s="313" t="s">
        <v>290</v>
      </c>
      <c r="D26" s="131">
        <v>0</v>
      </c>
      <c r="E26" s="101"/>
      <c r="F26" s="115">
        <v>0</v>
      </c>
      <c r="G26" s="312">
        <f t="shared" si="2"/>
        <v>0</v>
      </c>
      <c r="H26" s="115">
        <v>0</v>
      </c>
      <c r="I26" s="299">
        <f t="shared" si="3"/>
        <v>0</v>
      </c>
    </row>
    <row r="27" spans="1:9" x14ac:dyDescent="0.2">
      <c r="A27" s="5"/>
      <c r="B27" s="29"/>
      <c r="C27" s="294" t="s">
        <v>402</v>
      </c>
      <c r="D27" s="131">
        <v>0</v>
      </c>
      <c r="E27" s="101"/>
      <c r="F27" s="115">
        <v>0</v>
      </c>
      <c r="G27" s="312">
        <f t="shared" si="2"/>
        <v>0</v>
      </c>
      <c r="H27" s="115">
        <v>0</v>
      </c>
      <c r="I27" s="299">
        <f t="shared" si="3"/>
        <v>0</v>
      </c>
    </row>
    <row r="28" spans="1:9" x14ac:dyDescent="0.2">
      <c r="A28" s="5"/>
      <c r="B28" s="25">
        <v>12</v>
      </c>
      <c r="C28" s="295" t="s">
        <v>291</v>
      </c>
      <c r="D28" s="131">
        <v>0</v>
      </c>
      <c r="E28" s="101"/>
      <c r="F28" s="115">
        <v>0</v>
      </c>
      <c r="G28" s="312">
        <f t="shared" si="2"/>
        <v>0</v>
      </c>
      <c r="H28" s="115">
        <v>0</v>
      </c>
      <c r="I28" s="299">
        <f t="shared" si="3"/>
        <v>0</v>
      </c>
    </row>
    <row r="29" spans="1:9" x14ac:dyDescent="0.2">
      <c r="A29" s="5"/>
      <c r="B29" s="25">
        <v>13</v>
      </c>
      <c r="C29" s="295" t="s">
        <v>292</v>
      </c>
      <c r="D29" s="131">
        <v>0</v>
      </c>
      <c r="E29" s="101"/>
      <c r="F29" s="115">
        <v>0</v>
      </c>
      <c r="G29" s="312">
        <f t="shared" si="2"/>
        <v>0</v>
      </c>
      <c r="H29" s="115">
        <v>0</v>
      </c>
      <c r="I29" s="299">
        <f t="shared" si="3"/>
        <v>0</v>
      </c>
    </row>
    <row r="30" spans="1:9" x14ac:dyDescent="0.2">
      <c r="A30" s="5"/>
      <c r="B30" s="25">
        <v>14</v>
      </c>
      <c r="C30" s="292" t="s">
        <v>293</v>
      </c>
      <c r="D30" s="131">
        <f>SUM(D28+D29)</f>
        <v>0</v>
      </c>
      <c r="E30" s="78"/>
      <c r="F30" s="116">
        <f>SUM(F28+F29)</f>
        <v>0</v>
      </c>
      <c r="G30" s="312">
        <f t="shared" si="2"/>
        <v>0</v>
      </c>
      <c r="H30" s="116">
        <f>SUM(H28+H29)</f>
        <v>0</v>
      </c>
      <c r="I30" s="316">
        <f t="shared" si="3"/>
        <v>0</v>
      </c>
    </row>
    <row r="31" spans="1:9" x14ac:dyDescent="0.2">
      <c r="A31" s="5"/>
      <c r="B31" s="30"/>
      <c r="C31" s="293"/>
      <c r="D31" s="116"/>
      <c r="E31" s="78"/>
      <c r="F31" s="116"/>
      <c r="G31" s="317"/>
      <c r="H31" s="116"/>
      <c r="I31" s="316"/>
    </row>
    <row r="32" spans="1:9" x14ac:dyDescent="0.2">
      <c r="A32" s="5"/>
      <c r="B32" s="25">
        <v>15</v>
      </c>
      <c r="C32" s="295" t="s">
        <v>294</v>
      </c>
      <c r="D32" s="131">
        <v>0</v>
      </c>
      <c r="E32" s="101"/>
      <c r="F32" s="115">
        <v>0</v>
      </c>
      <c r="G32" s="318">
        <f>IF(D32=0,0,IF(D32&lt;0,(F32/D32-1)*-1,(F32/D32-1)*1))</f>
        <v>0</v>
      </c>
      <c r="H32" s="115">
        <v>0</v>
      </c>
      <c r="I32" s="299">
        <f>IF(F32=0,0,IF(F32&lt;0,(H32/F32-1)*-1,(H32/F32-1)*1))</f>
        <v>0</v>
      </c>
    </row>
    <row r="33" spans="1:9" x14ac:dyDescent="0.2">
      <c r="A33" s="5"/>
      <c r="B33" s="25"/>
      <c r="C33" s="300"/>
      <c r="D33" s="114"/>
      <c r="E33" s="119"/>
      <c r="F33" s="114"/>
      <c r="G33" s="310"/>
      <c r="H33" s="114"/>
      <c r="I33" s="303"/>
    </row>
    <row r="34" spans="1:9" x14ac:dyDescent="0.2">
      <c r="A34" s="5"/>
      <c r="B34" s="80">
        <v>16</v>
      </c>
      <c r="C34" s="304" t="s">
        <v>295</v>
      </c>
      <c r="D34" s="98">
        <f>SUM(D25+D26+D27+D30+D32)</f>
        <v>0</v>
      </c>
      <c r="E34" s="118"/>
      <c r="F34" s="98">
        <f>SUM(F25+F26+F27+F30+F32)</f>
        <v>0</v>
      </c>
      <c r="G34" s="319">
        <f>IF(D34=0,0,IF(D34&lt;0,(F34/D34-1)*-1,(F34/D34-1)*1))</f>
        <v>0</v>
      </c>
      <c r="H34" s="98">
        <f>SUM(H25+H26+H27+H30+H32)</f>
        <v>0</v>
      </c>
      <c r="I34" s="320">
        <f>IF(F34=0,0,IF(F34&lt;0,(H34/F34-1)*-1,(H34/F34-1)*1))</f>
        <v>0</v>
      </c>
    </row>
    <row r="35" spans="1:9" x14ac:dyDescent="0.2">
      <c r="A35" s="5"/>
      <c r="B35" s="25"/>
      <c r="C35" s="300"/>
      <c r="D35" s="114"/>
      <c r="E35" s="119"/>
      <c r="F35" s="114"/>
      <c r="G35" s="310"/>
      <c r="H35" s="114"/>
      <c r="I35" s="303"/>
    </row>
    <row r="36" spans="1:9" ht="13.5" thickBot="1" x14ac:dyDescent="0.25">
      <c r="A36" s="5"/>
      <c r="B36" s="31">
        <v>17</v>
      </c>
      <c r="C36" s="321" t="s">
        <v>296</v>
      </c>
      <c r="D36" s="117">
        <f>SUM(D18+D23+D34)</f>
        <v>0</v>
      </c>
      <c r="E36" s="120"/>
      <c r="F36" s="117">
        <f>SUM(F18+F23+F34)</f>
        <v>0</v>
      </c>
      <c r="G36" s="324">
        <f>IF(D36=0,0,IF(D36&lt;0,(F36/D36-1)*-1,(F36/D36-1)*1))</f>
        <v>0</v>
      </c>
      <c r="H36" s="117">
        <f>SUM(H18+H23+H34)</f>
        <v>0</v>
      </c>
      <c r="I36" s="325">
        <f>IF(F36=0,0,IF(F36&lt;0,(H36/F36-1)*-1,(H36/F36-1)*1))</f>
        <v>0</v>
      </c>
    </row>
    <row r="37" spans="1:9" x14ac:dyDescent="0.2">
      <c r="A37" s="5"/>
      <c r="B37" s="8"/>
      <c r="C37" s="10"/>
      <c r="D37" s="32"/>
      <c r="E37" s="28"/>
      <c r="F37" s="78"/>
      <c r="G37" s="28"/>
      <c r="H37" s="78"/>
      <c r="I37" s="28"/>
    </row>
    <row r="38" spans="1:9" x14ac:dyDescent="0.2">
      <c r="A38" s="5"/>
      <c r="B38" s="8"/>
      <c r="C38" s="27"/>
      <c r="D38" s="27"/>
      <c r="E38" s="27"/>
      <c r="F38" s="34"/>
      <c r="G38" s="27"/>
      <c r="H38" s="27"/>
      <c r="I38" s="27"/>
    </row>
    <row r="39" spans="1:9" ht="15.75" x14ac:dyDescent="0.25">
      <c r="A39" s="5"/>
      <c r="B39" s="983" t="s">
        <v>297</v>
      </c>
      <c r="C39" s="983"/>
      <c r="D39" s="983"/>
      <c r="E39" s="983"/>
      <c r="F39" s="983"/>
      <c r="G39" s="983"/>
      <c r="H39" s="983"/>
      <c r="I39" s="983"/>
    </row>
    <row r="40" spans="1:9" ht="13.15" customHeight="1" x14ac:dyDescent="0.25">
      <c r="A40" s="5"/>
      <c r="B40" s="73"/>
      <c r="C40" s="73"/>
      <c r="D40" s="73"/>
      <c r="E40" s="73"/>
      <c r="F40" s="73"/>
      <c r="G40" s="73"/>
      <c r="H40" s="73"/>
      <c r="I40" s="73"/>
    </row>
    <row r="41" spans="1:9" ht="13.15" customHeight="1" x14ac:dyDescent="0.2">
      <c r="A41" s="5"/>
      <c r="B41" s="13" t="str">
        <f>$B$5</f>
        <v>Cliente:</v>
      </c>
      <c r="C41" s="35"/>
      <c r="D41" s="16">
        <f t="shared" ref="D41:I41" si="4">D5</f>
        <v>41639</v>
      </c>
      <c r="E41" s="36" t="str">
        <f t="shared" si="4"/>
        <v>A.H.</v>
      </c>
      <c r="F41" s="16">
        <f t="shared" si="4"/>
        <v>42004</v>
      </c>
      <c r="G41" s="36" t="str">
        <f t="shared" si="4"/>
        <v>A.H.</v>
      </c>
      <c r="H41" s="16">
        <f t="shared" si="4"/>
        <v>42369</v>
      </c>
      <c r="I41" s="36" t="str">
        <f t="shared" si="4"/>
        <v>A.H.</v>
      </c>
    </row>
    <row r="42" spans="1:9" ht="13.15" customHeight="1" x14ac:dyDescent="0.25">
      <c r="A42" s="5"/>
      <c r="B42" s="13" t="str">
        <f>$B$6</f>
        <v>Código:</v>
      </c>
      <c r="C42" s="35">
        <f>$C$6</f>
        <v>0</v>
      </c>
      <c r="D42" s="36" t="str">
        <f>D6</f>
        <v>MR$</v>
      </c>
      <c r="E42" s="73"/>
      <c r="F42" s="36" t="str">
        <f>F6</f>
        <v>MR$</v>
      </c>
      <c r="G42" s="73"/>
      <c r="H42" s="36" t="str">
        <f>H6</f>
        <v>MR$</v>
      </c>
      <c r="I42" s="73"/>
    </row>
    <row r="43" spans="1:9" ht="13.15" customHeight="1" thickBot="1" x14ac:dyDescent="0.3">
      <c r="A43" s="5"/>
      <c r="B43" s="73"/>
      <c r="C43" s="73"/>
      <c r="D43" s="73"/>
      <c r="E43" s="73"/>
      <c r="F43" s="73"/>
      <c r="G43" s="73"/>
      <c r="H43" s="73"/>
      <c r="I43" s="73"/>
    </row>
    <row r="44" spans="1:9" ht="13.15" customHeight="1" x14ac:dyDescent="0.2">
      <c r="A44" s="5"/>
      <c r="B44" s="18"/>
      <c r="C44" s="19"/>
      <c r="D44" s="21"/>
      <c r="E44" s="37"/>
      <c r="F44" s="122"/>
      <c r="G44" s="37"/>
      <c r="H44" s="21"/>
      <c r="I44" s="41"/>
    </row>
    <row r="45" spans="1:9" ht="13.15" customHeight="1" x14ac:dyDescent="0.2">
      <c r="A45" s="5"/>
      <c r="B45" s="25">
        <v>18</v>
      </c>
      <c r="C45" s="295" t="s">
        <v>298</v>
      </c>
      <c r="D45" s="131"/>
      <c r="E45" s="26"/>
      <c r="F45" s="115">
        <v>0</v>
      </c>
      <c r="G45" s="296">
        <f t="shared" ref="G45:G54" si="5">IF(D45=0,0,IF(D45&lt;0,(F45/D45-1)*-1,(F45/D45-1)*1))</f>
        <v>0</v>
      </c>
      <c r="H45" s="115">
        <v>0</v>
      </c>
      <c r="I45" s="326">
        <f t="shared" ref="I45:I54" si="6">IF(F45=0,0,IF(F45&lt;0,(H45/F45-1)*-1,(H45/F45-1)*1))</f>
        <v>0</v>
      </c>
    </row>
    <row r="46" spans="1:9" x14ac:dyDescent="0.2">
      <c r="A46" s="5"/>
      <c r="B46" s="25">
        <v>19</v>
      </c>
      <c r="C46" s="295" t="s">
        <v>411</v>
      </c>
      <c r="D46" s="131">
        <v>0</v>
      </c>
      <c r="E46" s="26"/>
      <c r="F46" s="115">
        <v>0</v>
      </c>
      <c r="G46" s="296">
        <f t="shared" si="5"/>
        <v>0</v>
      </c>
      <c r="H46" s="115">
        <v>0</v>
      </c>
      <c r="I46" s="326">
        <f t="shared" si="6"/>
        <v>0</v>
      </c>
    </row>
    <row r="47" spans="1:9" x14ac:dyDescent="0.2">
      <c r="A47" s="5"/>
      <c r="B47" s="25">
        <v>20</v>
      </c>
      <c r="C47" s="295" t="s">
        <v>408</v>
      </c>
      <c r="D47" s="131">
        <v>0</v>
      </c>
      <c r="E47" s="26"/>
      <c r="F47" s="115">
        <v>0</v>
      </c>
      <c r="G47" s="296">
        <f t="shared" si="5"/>
        <v>0</v>
      </c>
      <c r="H47" s="115">
        <v>0</v>
      </c>
      <c r="I47" s="326">
        <f t="shared" si="6"/>
        <v>0</v>
      </c>
    </row>
    <row r="48" spans="1:9" x14ac:dyDescent="0.2">
      <c r="A48" s="5"/>
      <c r="B48" s="25">
        <v>21</v>
      </c>
      <c r="C48" s="295" t="s">
        <v>299</v>
      </c>
      <c r="D48" s="131"/>
      <c r="E48" s="26"/>
      <c r="F48" s="115">
        <v>0</v>
      </c>
      <c r="G48" s="296">
        <f t="shared" si="5"/>
        <v>0</v>
      </c>
      <c r="H48" s="115">
        <v>0</v>
      </c>
      <c r="I48" s="326">
        <f t="shared" si="6"/>
        <v>0</v>
      </c>
    </row>
    <row r="49" spans="1:10" x14ac:dyDescent="0.2">
      <c r="A49" s="5"/>
      <c r="B49" s="25"/>
      <c r="C49" s="295" t="s">
        <v>410</v>
      </c>
      <c r="D49" s="131">
        <v>0</v>
      </c>
      <c r="E49" s="26"/>
      <c r="F49" s="115">
        <v>0</v>
      </c>
      <c r="G49" s="296">
        <f t="shared" si="5"/>
        <v>0</v>
      </c>
      <c r="H49" s="115">
        <v>0</v>
      </c>
      <c r="I49" s="326">
        <f t="shared" si="6"/>
        <v>0</v>
      </c>
    </row>
    <row r="50" spans="1:10" x14ac:dyDescent="0.2">
      <c r="A50" s="5"/>
      <c r="B50" s="25">
        <v>22</v>
      </c>
      <c r="C50" s="295" t="s">
        <v>300</v>
      </c>
      <c r="D50" s="131"/>
      <c r="E50" s="26"/>
      <c r="F50" s="115">
        <v>0</v>
      </c>
      <c r="G50" s="296">
        <f t="shared" si="5"/>
        <v>0</v>
      </c>
      <c r="H50" s="115">
        <v>0</v>
      </c>
      <c r="I50" s="326">
        <f t="shared" si="6"/>
        <v>0</v>
      </c>
    </row>
    <row r="51" spans="1:10" x14ac:dyDescent="0.2">
      <c r="A51" s="5"/>
      <c r="B51" s="25">
        <v>23</v>
      </c>
      <c r="C51" s="295" t="s">
        <v>401</v>
      </c>
      <c r="D51" s="131">
        <v>0</v>
      </c>
      <c r="E51" s="26"/>
      <c r="F51" s="115">
        <v>0</v>
      </c>
      <c r="G51" s="296">
        <f t="shared" si="5"/>
        <v>0</v>
      </c>
      <c r="H51" s="115">
        <v>0</v>
      </c>
      <c r="I51" s="326">
        <f t="shared" si="6"/>
        <v>0</v>
      </c>
    </row>
    <row r="52" spans="1:10" x14ac:dyDescent="0.2">
      <c r="A52" s="5"/>
      <c r="B52" s="25">
        <v>24</v>
      </c>
      <c r="C52" s="295" t="s">
        <v>301</v>
      </c>
      <c r="D52" s="131">
        <v>0</v>
      </c>
      <c r="E52" s="26"/>
      <c r="F52" s="115">
        <v>0</v>
      </c>
      <c r="G52" s="296">
        <f t="shared" si="5"/>
        <v>0</v>
      </c>
      <c r="H52" s="115">
        <v>0</v>
      </c>
      <c r="I52" s="326">
        <f t="shared" si="6"/>
        <v>0</v>
      </c>
    </row>
    <row r="53" spans="1:10" x14ac:dyDescent="0.2">
      <c r="A53" s="5"/>
      <c r="B53" s="25">
        <v>25</v>
      </c>
      <c r="C53" s="295" t="s">
        <v>302</v>
      </c>
      <c r="D53" s="131">
        <v>0</v>
      </c>
      <c r="E53" s="101"/>
      <c r="F53" s="115">
        <v>0</v>
      </c>
      <c r="G53" s="327">
        <f t="shared" si="5"/>
        <v>0</v>
      </c>
      <c r="H53" s="115">
        <v>0</v>
      </c>
      <c r="I53" s="326">
        <f t="shared" si="6"/>
        <v>0</v>
      </c>
    </row>
    <row r="54" spans="1:10" x14ac:dyDescent="0.2">
      <c r="A54" s="5"/>
      <c r="B54" s="25">
        <v>26</v>
      </c>
      <c r="C54" s="292" t="s">
        <v>303</v>
      </c>
      <c r="D54" s="131">
        <f>SUM(D50+D51+D52+D53)</f>
        <v>0</v>
      </c>
      <c r="E54" s="78"/>
      <c r="F54" s="116">
        <f>SUM(F50+F51+F52+F53)</f>
        <v>0</v>
      </c>
      <c r="G54" s="328">
        <f t="shared" si="5"/>
        <v>0</v>
      </c>
      <c r="H54" s="116">
        <f>SUM(H50+H51+H52+H53)</f>
        <v>0</v>
      </c>
      <c r="I54" s="329">
        <f t="shared" si="6"/>
        <v>0</v>
      </c>
      <c r="J54" s="103"/>
    </row>
    <row r="55" spans="1:10" x14ac:dyDescent="0.2">
      <c r="A55" s="5"/>
      <c r="B55" s="25"/>
      <c r="C55" s="300"/>
      <c r="D55" s="114"/>
      <c r="E55" s="119"/>
      <c r="F55" s="114"/>
      <c r="G55" s="330"/>
      <c r="H55" s="114"/>
      <c r="I55" s="331"/>
      <c r="J55" s="100"/>
    </row>
    <row r="56" spans="1:10" x14ac:dyDescent="0.2">
      <c r="A56" s="5"/>
      <c r="B56" s="80">
        <v>27</v>
      </c>
      <c r="C56" s="304" t="s">
        <v>304</v>
      </c>
      <c r="D56" s="98">
        <f>SUM(D45+D46+D47+D48+D49+D54)</f>
        <v>0</v>
      </c>
      <c r="E56" s="118"/>
      <c r="F56" s="98">
        <f>SUM(F45+F46+F47+F48+F49+F54)</f>
        <v>0</v>
      </c>
      <c r="G56" s="332">
        <f>IF(D56=0,0,IF(D56&lt;0,(F56/D56-1)*-1,(F56/D56-1)*1))</f>
        <v>0</v>
      </c>
      <c r="H56" s="98">
        <f>SUM(H45+H46+H47+H48+H49+H54)</f>
        <v>0</v>
      </c>
      <c r="I56" s="333">
        <f>IF(F56=0,0,IF(F56&lt;0,(H56/F56-1)*-1,(H56/F56-1)*1))</f>
        <v>0</v>
      </c>
      <c r="J56" s="103"/>
    </row>
    <row r="57" spans="1:10" x14ac:dyDescent="0.2">
      <c r="A57" s="5"/>
      <c r="B57" s="25"/>
      <c r="C57" s="300"/>
      <c r="D57" s="114"/>
      <c r="E57" s="119"/>
      <c r="F57" s="114"/>
      <c r="G57" s="330"/>
      <c r="H57" s="114"/>
      <c r="I57" s="331"/>
      <c r="J57" s="100"/>
    </row>
    <row r="58" spans="1:10" x14ac:dyDescent="0.2">
      <c r="A58" s="5"/>
      <c r="B58" s="25">
        <v>28</v>
      </c>
      <c r="C58" s="295" t="s">
        <v>305</v>
      </c>
      <c r="D58" s="131">
        <v>0</v>
      </c>
      <c r="E58" s="101"/>
      <c r="F58" s="115">
        <v>0</v>
      </c>
      <c r="G58" s="327">
        <f>IF(D58=0,0,IF(D58&lt;0,(F58/D58-1)*-1,(F58/D58-1)*1))</f>
        <v>0</v>
      </c>
      <c r="H58" s="115">
        <v>0</v>
      </c>
      <c r="I58" s="326">
        <f>IF(F58=0,0,IF(F58&lt;0,(H58/F58-1)*-1,(H58/F58-1)*1))</f>
        <v>0</v>
      </c>
    </row>
    <row r="59" spans="1:10" x14ac:dyDescent="0.2">
      <c r="A59" s="5"/>
      <c r="B59" s="25">
        <v>29</v>
      </c>
      <c r="C59" s="295" t="s">
        <v>306</v>
      </c>
      <c r="D59" s="131">
        <v>0</v>
      </c>
      <c r="E59" s="101"/>
      <c r="F59" s="115">
        <v>0</v>
      </c>
      <c r="G59" s="327">
        <f>IF(D59=0,0,IF(D59&lt;0,(F59/D59-1)*-1,(F59/D59-1)*1))</f>
        <v>0</v>
      </c>
      <c r="H59" s="115">
        <v>0</v>
      </c>
      <c r="I59" s="326">
        <f>IF(F59=0,0,IF(F59&lt;0,(H59/F59-1)*-1,(H59/F59-1)*1))</f>
        <v>0</v>
      </c>
    </row>
    <row r="60" spans="1:10" x14ac:dyDescent="0.2">
      <c r="A60" s="5"/>
      <c r="B60" s="25">
        <v>30</v>
      </c>
      <c r="C60" s="295" t="s">
        <v>283</v>
      </c>
      <c r="D60" s="131">
        <v>0</v>
      </c>
      <c r="E60" s="101"/>
      <c r="F60" s="115">
        <v>0</v>
      </c>
      <c r="G60" s="327">
        <f>IF(D60=0,0,IF(D60&lt;0,(F60/D60-1)*-1,(F60/D60-1)*1))</f>
        <v>0</v>
      </c>
      <c r="H60" s="115">
        <v>0</v>
      </c>
      <c r="I60" s="326">
        <f>IF(F60=0,0,IF(F60&lt;0,(H60/F60-1)*-1,(H60/F60-1)*1))</f>
        <v>0</v>
      </c>
    </row>
    <row r="61" spans="1:10" x14ac:dyDescent="0.2">
      <c r="A61" s="5"/>
      <c r="B61" s="25">
        <v>31</v>
      </c>
      <c r="C61" s="295" t="s">
        <v>307</v>
      </c>
      <c r="D61" s="131"/>
      <c r="E61" s="101"/>
      <c r="F61" s="115">
        <v>0</v>
      </c>
      <c r="G61" s="327">
        <f>IF(D61=0,0,IF(D61&lt;0,(F61/D61-1)*-1,(F61/D61-1)*1))</f>
        <v>0</v>
      </c>
      <c r="H61" s="115">
        <v>0</v>
      </c>
      <c r="I61" s="326">
        <f>IF(F61=0,0,IF(F61&lt;0,(H61/F61-1)*-1,(H61/F61-1)*1))</f>
        <v>0</v>
      </c>
    </row>
    <row r="62" spans="1:10" x14ac:dyDescent="0.2">
      <c r="A62" s="5"/>
      <c r="B62" s="25"/>
      <c r="C62" s="300"/>
      <c r="D62" s="114"/>
      <c r="E62" s="119"/>
      <c r="F62" s="114"/>
      <c r="G62" s="330"/>
      <c r="H62" s="114"/>
      <c r="I62" s="331"/>
      <c r="J62" s="100"/>
    </row>
    <row r="63" spans="1:10" x14ac:dyDescent="0.2">
      <c r="A63" s="5"/>
      <c r="B63" s="80">
        <v>32</v>
      </c>
      <c r="C63" s="304" t="s">
        <v>308</v>
      </c>
      <c r="D63" s="98">
        <f>SUM(D58+D59+D60+D61)</f>
        <v>0</v>
      </c>
      <c r="E63" s="118"/>
      <c r="F63" s="98">
        <f>SUM(F58+F59+F60+F61)</f>
        <v>0</v>
      </c>
      <c r="G63" s="332">
        <f>IF(D63=0,0,IF(D63&lt;0,(F63/D63-1)*-1,(F63/D63-1)*1))</f>
        <v>0</v>
      </c>
      <c r="H63" s="98">
        <f>SUM(H58+H59+H60+H61)</f>
        <v>0</v>
      </c>
      <c r="I63" s="333">
        <f>IF(F63=0,0,IF(F63&lt;0,(H63/F63-1)*-1,(H63/F63-1)*1))</f>
        <v>0</v>
      </c>
      <c r="J63" s="103"/>
    </row>
    <row r="64" spans="1:10" x14ac:dyDescent="0.2">
      <c r="A64" s="5"/>
      <c r="B64" s="25"/>
      <c r="C64" s="300"/>
      <c r="D64" s="114"/>
      <c r="E64" s="119"/>
      <c r="F64" s="114"/>
      <c r="G64" s="330"/>
      <c r="H64" s="114"/>
      <c r="I64" s="331"/>
      <c r="J64" s="100"/>
    </row>
    <row r="65" spans="1:10" x14ac:dyDescent="0.2">
      <c r="A65" s="5"/>
      <c r="B65" s="25">
        <v>33</v>
      </c>
      <c r="C65" s="292" t="s">
        <v>309</v>
      </c>
      <c r="D65" s="131">
        <f>SUM(D56+D63)</f>
        <v>0</v>
      </c>
      <c r="E65" s="78"/>
      <c r="F65" s="116">
        <f>SUM(F56+F63)</f>
        <v>0</v>
      </c>
      <c r="G65" s="328">
        <f>IF(D65=0,0,IF(D65&lt;0,(F65/D65-1)*-1,(F65/D65-1)*1))</f>
        <v>0</v>
      </c>
      <c r="H65" s="116">
        <f>SUM(H56+H63)</f>
        <v>0</v>
      </c>
      <c r="I65" s="329">
        <f>IF(F65=0,0,IF(F65&lt;0,(H65/F65-1)*-1,(H65/F65-1)*1))</f>
        <v>0</v>
      </c>
      <c r="J65" s="103"/>
    </row>
    <row r="66" spans="1:10" x14ac:dyDescent="0.2">
      <c r="A66" s="5"/>
      <c r="B66" s="25"/>
      <c r="C66" s="300"/>
      <c r="D66" s="114"/>
      <c r="E66" s="119"/>
      <c r="F66" s="114"/>
      <c r="G66" s="330"/>
      <c r="H66" s="114"/>
      <c r="I66" s="331"/>
      <c r="J66" s="100"/>
    </row>
    <row r="67" spans="1:10" x14ac:dyDescent="0.2">
      <c r="A67" s="5"/>
      <c r="B67" s="25">
        <v>34</v>
      </c>
      <c r="C67" s="295" t="s">
        <v>310</v>
      </c>
      <c r="D67" s="131"/>
      <c r="E67" s="101"/>
      <c r="F67" s="115">
        <v>0</v>
      </c>
      <c r="G67" s="327">
        <f>IF(D67=0,0,IF(D67&lt;0,(F67/D67-1)*-1,(F67/D67-1)*1))</f>
        <v>0</v>
      </c>
      <c r="H67" s="115">
        <v>0</v>
      </c>
      <c r="I67" s="326">
        <f>IF(F67=0,0,IF(F67&lt;0,(H67/F67-1)*-1,(H67/F67-1)*1))</f>
        <v>0</v>
      </c>
    </row>
    <row r="68" spans="1:10" x14ac:dyDescent="0.2">
      <c r="A68" s="5"/>
      <c r="B68" s="25">
        <v>35</v>
      </c>
      <c r="C68" s="295" t="s">
        <v>311</v>
      </c>
      <c r="D68" s="131">
        <v>0</v>
      </c>
      <c r="E68" s="101"/>
      <c r="F68" s="115">
        <v>0</v>
      </c>
      <c r="G68" s="327">
        <f>IF(D68=0,0,IF(D68&lt;0,(F68/D68-1)*-1,(F68/D68-1)*1))</f>
        <v>0</v>
      </c>
      <c r="H68" s="115">
        <v>0</v>
      </c>
      <c r="I68" s="326">
        <f>IF(F68=0,0,IF(F68&lt;0,(H68/F68-1)*-1,(H68/F68-1)*1))</f>
        <v>0</v>
      </c>
    </row>
    <row r="69" spans="1:10" x14ac:dyDescent="0.2">
      <c r="A69" s="5"/>
      <c r="B69" s="25">
        <v>36</v>
      </c>
      <c r="C69" s="295" t="s">
        <v>312</v>
      </c>
      <c r="D69" s="131">
        <v>0</v>
      </c>
      <c r="E69" s="101"/>
      <c r="F69" s="115">
        <v>0</v>
      </c>
      <c r="G69" s="327">
        <f>IF(D69=0,0,IF(D69&lt;0,(F69/D69-1)*-1,(F69/D69-1)*1))</f>
        <v>0</v>
      </c>
      <c r="H69" s="115">
        <v>0</v>
      </c>
      <c r="I69" s="326">
        <f>IF(F69=0,0,IF(F69&lt;0,(H69/F69-1)*-1,(H69/F69-1)*1))</f>
        <v>0</v>
      </c>
    </row>
    <row r="70" spans="1:10" x14ac:dyDescent="0.2">
      <c r="A70" s="5"/>
      <c r="B70" s="25">
        <v>37</v>
      </c>
      <c r="C70" s="295" t="s">
        <v>313</v>
      </c>
      <c r="D70" s="131"/>
      <c r="E70" s="101"/>
      <c r="F70" s="115">
        <v>0</v>
      </c>
      <c r="G70" s="327">
        <f>IF(D70=0,0,IF(D70&lt;0,(F70/D70-1)*-1,(F70/D70-1)*1))</f>
        <v>0</v>
      </c>
      <c r="H70" s="115">
        <v>0</v>
      </c>
      <c r="I70" s="326">
        <f>IF(F70=0,0,IF(F70&lt;0,(H70/F70-1)*-1,(H70/F70-1)*1))</f>
        <v>0</v>
      </c>
    </row>
    <row r="71" spans="1:10" x14ac:dyDescent="0.2">
      <c r="A71" s="5"/>
      <c r="B71" s="25"/>
      <c r="C71" s="300"/>
      <c r="D71" s="114"/>
      <c r="E71" s="119"/>
      <c r="F71" s="114"/>
      <c r="G71" s="330"/>
      <c r="H71" s="114"/>
      <c r="I71" s="331"/>
      <c r="J71" s="100"/>
    </row>
    <row r="72" spans="1:10" x14ac:dyDescent="0.2">
      <c r="A72" s="5"/>
      <c r="B72" s="80">
        <v>38</v>
      </c>
      <c r="C72" s="304" t="s">
        <v>314</v>
      </c>
      <c r="D72" s="98">
        <f>SUM(D67+D68+D69+D70)</f>
        <v>0</v>
      </c>
      <c r="E72" s="118"/>
      <c r="F72" s="98">
        <f>SUM(F67+F68+F69+F70)</f>
        <v>0</v>
      </c>
      <c r="G72" s="332">
        <f>IF(D72=0,0,IF(D72&lt;0,(F72/D72-1)*-1,(F72/D72-1)*1))</f>
        <v>0</v>
      </c>
      <c r="H72" s="98">
        <f>SUM(H67+H68+H69+H70)</f>
        <v>0</v>
      </c>
      <c r="I72" s="333">
        <f>IF(F72=0,0,IF(F72&lt;0,(H72/F72-1)*-1,(H72/F72-1)*1))</f>
        <v>0</v>
      </c>
      <c r="J72" s="103"/>
    </row>
    <row r="73" spans="1:10" x14ac:dyDescent="0.2">
      <c r="A73" s="5"/>
      <c r="B73" s="25"/>
      <c r="C73" s="300"/>
      <c r="D73" s="129"/>
      <c r="E73" s="119"/>
      <c r="F73" s="114"/>
      <c r="G73" s="330"/>
      <c r="H73" s="114"/>
      <c r="I73" s="331"/>
      <c r="J73" s="100"/>
    </row>
    <row r="74" spans="1:10" ht="13.5" thickBot="1" x14ac:dyDescent="0.25">
      <c r="A74" s="5"/>
      <c r="B74" s="88">
        <v>39</v>
      </c>
      <c r="C74" s="334" t="s">
        <v>315</v>
      </c>
      <c r="D74" s="99">
        <f>SUM(D65+D72)</f>
        <v>0</v>
      </c>
      <c r="E74" s="121"/>
      <c r="F74" s="99">
        <f>SUM(F65+F72)</f>
        <v>0</v>
      </c>
      <c r="G74" s="336">
        <f>IF(D74=0,0,IF(D74&lt;0,(F74/D74-1)*-1,(F74/D74-1)*1))</f>
        <v>0</v>
      </c>
      <c r="H74" s="99">
        <f>SUM(H65+H72)</f>
        <v>0</v>
      </c>
      <c r="I74" s="337">
        <f>IF(F74=0,0,IF(F74&lt;0,(H74/F74-1)*-1,(H74/F74-1)*1))</f>
        <v>0</v>
      </c>
      <c r="J74" s="103"/>
    </row>
    <row r="75" spans="1:10" x14ac:dyDescent="0.2">
      <c r="B75" s="27"/>
      <c r="C75" s="27"/>
      <c r="D75" s="27"/>
      <c r="E75" s="27"/>
      <c r="F75" s="34"/>
      <c r="G75" s="27"/>
      <c r="H75" s="27"/>
      <c r="I75" s="27"/>
    </row>
    <row r="76" spans="1:10" x14ac:dyDescent="0.2">
      <c r="B76" s="74" t="s">
        <v>316</v>
      </c>
      <c r="F76" s="39"/>
    </row>
    <row r="77" spans="1:10" x14ac:dyDescent="0.2">
      <c r="B77" s="74" t="s">
        <v>317</v>
      </c>
      <c r="F77" s="39"/>
    </row>
    <row r="78" spans="1:10" ht="15.75" x14ac:dyDescent="0.25">
      <c r="B78" s="983" t="s">
        <v>318</v>
      </c>
      <c r="C78" s="983"/>
      <c r="D78" s="983"/>
      <c r="E78" s="983"/>
      <c r="F78" s="983"/>
      <c r="G78" s="983"/>
      <c r="H78" s="983"/>
      <c r="I78" s="983"/>
    </row>
    <row r="79" spans="1:10" ht="15.75" x14ac:dyDescent="0.25">
      <c r="B79" s="73"/>
      <c r="C79" s="73"/>
      <c r="D79" s="73"/>
      <c r="E79" s="73"/>
      <c r="F79" s="73"/>
      <c r="G79" s="73"/>
      <c r="H79" s="73"/>
      <c r="I79" s="73"/>
    </row>
    <row r="80" spans="1:10" x14ac:dyDescent="0.2">
      <c r="F80" s="39"/>
    </row>
    <row r="81" spans="1:11" x14ac:dyDescent="0.2">
      <c r="B81" s="13" t="str">
        <f>$B$5</f>
        <v>Cliente:</v>
      </c>
      <c r="C81" s="35">
        <f>C41</f>
        <v>0</v>
      </c>
      <c r="D81" s="16">
        <f t="shared" ref="D81:I81" si="7">D41</f>
        <v>41639</v>
      </c>
      <c r="E81" s="11" t="str">
        <f t="shared" si="7"/>
        <v>A.H.</v>
      </c>
      <c r="F81" s="16">
        <f t="shared" si="7"/>
        <v>42004</v>
      </c>
      <c r="G81" s="36" t="str">
        <f t="shared" si="7"/>
        <v>A.H.</v>
      </c>
      <c r="H81" s="16">
        <f>H41</f>
        <v>42369</v>
      </c>
      <c r="I81" s="11" t="str">
        <f t="shared" si="7"/>
        <v>A.H.</v>
      </c>
    </row>
    <row r="82" spans="1:11" x14ac:dyDescent="0.2">
      <c r="A82" s="5"/>
      <c r="B82" s="13" t="str">
        <f>$B$6</f>
        <v>Código:</v>
      </c>
      <c r="C82" s="35">
        <f>C42</f>
        <v>0</v>
      </c>
      <c r="D82" s="11" t="str">
        <f>D42</f>
        <v>MR$</v>
      </c>
      <c r="E82" s="5"/>
      <c r="F82" s="11" t="str">
        <f>F42</f>
        <v>MR$</v>
      </c>
      <c r="G82" s="40"/>
      <c r="H82" s="11" t="str">
        <f>H42</f>
        <v>MR$</v>
      </c>
      <c r="I82" s="5"/>
    </row>
    <row r="83" spans="1:11" ht="13.5" thickBot="1" x14ac:dyDescent="0.25">
      <c r="A83" s="5"/>
      <c r="D83" s="11"/>
      <c r="E83" s="5"/>
      <c r="F83" s="11"/>
      <c r="G83" s="40"/>
      <c r="H83" s="11"/>
      <c r="I83" s="5"/>
    </row>
    <row r="84" spans="1:11" x14ac:dyDescent="0.2">
      <c r="A84" s="5"/>
      <c r="B84" s="18"/>
      <c r="C84" s="19"/>
      <c r="D84" s="126"/>
      <c r="E84" s="37"/>
      <c r="F84" s="126"/>
      <c r="G84" s="37"/>
      <c r="H84" s="126"/>
      <c r="I84" s="91"/>
    </row>
    <row r="85" spans="1:11" x14ac:dyDescent="0.2">
      <c r="A85" s="5"/>
      <c r="B85" s="25">
        <v>40</v>
      </c>
      <c r="C85" s="292" t="s">
        <v>319</v>
      </c>
      <c r="D85" s="130"/>
      <c r="E85" s="123"/>
      <c r="F85" s="116">
        <v>0</v>
      </c>
      <c r="G85" s="338">
        <f>IF(D85=0,0,IF(D85&lt;0,(F85/D85-1)*-1,(F85/D85-1)*1))</f>
        <v>0</v>
      </c>
      <c r="H85" s="116">
        <v>0</v>
      </c>
      <c r="I85" s="339">
        <f>IF(F85=0,0,IF(F85&lt;0,((((H85/$H$7)/(F85/$F$7))-1)*-1),((((H85/$H$7)/(F85/$F$7))-1)*1)))</f>
        <v>0</v>
      </c>
    </row>
    <row r="86" spans="1:11" x14ac:dyDescent="0.2">
      <c r="A86" s="5"/>
      <c r="B86" s="25">
        <v>41</v>
      </c>
      <c r="C86" s="295" t="s">
        <v>320</v>
      </c>
      <c r="D86" s="131"/>
      <c r="E86" s="38"/>
      <c r="F86" s="115">
        <v>0</v>
      </c>
      <c r="G86" s="340">
        <f>IF(D86=0,0,IF(D86&lt;0,(F86/D86-1)*-1,(F86/D86-1)*1))</f>
        <v>0</v>
      </c>
      <c r="H86" s="115">
        <v>0</v>
      </c>
      <c r="I86" s="341">
        <f>IF(F86=0,0,IF(F86&lt;0,((((H86/$H$7)/(F86/$F$7))-1)*-1),((((H86/$H$7)/(F86/$F$7))-1)*1)))</f>
        <v>0</v>
      </c>
    </row>
    <row r="87" spans="1:11" x14ac:dyDescent="0.2">
      <c r="A87" s="5"/>
      <c r="B87" s="25"/>
      <c r="C87" s="300"/>
      <c r="D87" s="132"/>
      <c r="E87" s="124"/>
      <c r="F87" s="114"/>
      <c r="G87" s="342"/>
      <c r="H87" s="114"/>
      <c r="I87" s="343"/>
    </row>
    <row r="88" spans="1:11" x14ac:dyDescent="0.2">
      <c r="A88" s="5"/>
      <c r="B88" s="80">
        <v>42</v>
      </c>
      <c r="C88" s="344" t="s">
        <v>321</v>
      </c>
      <c r="D88" s="98">
        <f>SUM(D85-D86)</f>
        <v>0</v>
      </c>
      <c r="E88" s="81"/>
      <c r="F88" s="98">
        <f>SUM(F85-F86)</f>
        <v>0</v>
      </c>
      <c r="G88" s="346">
        <f>IF(D88=0,0,IF(D88&lt;0,(F88/D88-1)*-1,(F88/D88-1)*1))</f>
        <v>0</v>
      </c>
      <c r="H88" s="98">
        <f>SUM(H85-H86)</f>
        <v>0</v>
      </c>
      <c r="I88" s="347">
        <f>IF(F88=0,0,IF(F88&lt;0,((((H88/$H$7)/(F88/$F$7))-1)*-1),((((H88/$H$7)/(F88/$F$7))-1)*1)))</f>
        <v>0</v>
      </c>
    </row>
    <row r="89" spans="1:11" x14ac:dyDescent="0.2">
      <c r="A89" s="5"/>
      <c r="B89" s="25"/>
      <c r="C89" s="300"/>
      <c r="D89" s="82"/>
      <c r="E89" s="83"/>
      <c r="F89" s="114"/>
      <c r="G89" s="342"/>
      <c r="H89" s="114"/>
      <c r="I89" s="343"/>
    </row>
    <row r="90" spans="1:11" x14ac:dyDescent="0.2">
      <c r="A90" s="5"/>
      <c r="B90" s="25">
        <v>43</v>
      </c>
      <c r="C90" s="295" t="s">
        <v>322</v>
      </c>
      <c r="D90" s="131"/>
      <c r="E90" s="87"/>
      <c r="F90" s="115">
        <v>0</v>
      </c>
      <c r="G90" s="338">
        <f>IF(D90=0,0,IF(D90&lt;0,(F90/D90-1)*-1,(F90/D90-1)*1))</f>
        <v>0</v>
      </c>
      <c r="H90" s="115">
        <v>0</v>
      </c>
      <c r="I90" s="341">
        <f>IF(F90=0,0,IF(F90&lt;0,((((H90/$H$7)/(F90/$F$7))-1)*-1),((((H90/$H$7)/(F90/$F$7))-1)*1)))</f>
        <v>0</v>
      </c>
      <c r="K90" s="101"/>
    </row>
    <row r="91" spans="1:11" x14ac:dyDescent="0.2">
      <c r="A91" s="5"/>
      <c r="B91" s="25"/>
      <c r="C91" s="300"/>
      <c r="D91" s="82"/>
      <c r="E91" s="83"/>
      <c r="F91" s="114"/>
      <c r="G91" s="342"/>
      <c r="H91" s="114"/>
      <c r="I91" s="343"/>
      <c r="K91" s="102"/>
    </row>
    <row r="92" spans="1:11" x14ac:dyDescent="0.2">
      <c r="A92" s="5"/>
      <c r="B92" s="80">
        <v>44</v>
      </c>
      <c r="C92" s="304" t="s">
        <v>323</v>
      </c>
      <c r="D92" s="98">
        <f>SUM(D88-D90)</f>
        <v>0</v>
      </c>
      <c r="E92" s="81"/>
      <c r="F92" s="98">
        <f>SUM(F88-F90)</f>
        <v>0</v>
      </c>
      <c r="G92" s="346">
        <f>IF(D92=0,0,IF(D92&lt;0,(F92/D92-1)*-1,(F92/D92-1)*1))</f>
        <v>0</v>
      </c>
      <c r="H92" s="98">
        <f>SUM(H88-H90)</f>
        <v>0</v>
      </c>
      <c r="I92" s="347">
        <f>IF(F92=0,0,IF(F92&lt;0,((((H92/$H$7)/(F92/$F$7))-1)*-1),((((H92/$H$7)/(F92/$F$7))-1)*1)))</f>
        <v>0</v>
      </c>
      <c r="K92" s="100"/>
    </row>
    <row r="93" spans="1:11" x14ac:dyDescent="0.2">
      <c r="A93" s="5"/>
      <c r="B93" s="25"/>
      <c r="C93" s="300"/>
      <c r="D93" s="82"/>
      <c r="E93" s="83"/>
      <c r="F93" s="114"/>
      <c r="G93" s="342"/>
      <c r="H93" s="114"/>
      <c r="I93" s="343"/>
      <c r="K93" s="100"/>
    </row>
    <row r="94" spans="1:11" x14ac:dyDescent="0.2">
      <c r="A94" s="5"/>
      <c r="B94" s="25">
        <v>45</v>
      </c>
      <c r="C94" s="295" t="s">
        <v>324</v>
      </c>
      <c r="D94" s="131"/>
      <c r="E94" s="85"/>
      <c r="F94" s="115">
        <v>0</v>
      </c>
      <c r="G94" s="340">
        <f>IF(D94=0,0,IF(D94&lt;0,(F94/D94-1)*-1,(F94/D94-1)*1))</f>
        <v>0</v>
      </c>
      <c r="H94" s="115">
        <v>0</v>
      </c>
      <c r="I94" s="341">
        <f>IF(F94=0,0,IF(F94&lt;0,((((H94/$H$7)/(F94/$F$7))-1)*-1),((((H94/$H$7)/(F94/$F$7))-1)*1)))</f>
        <v>0</v>
      </c>
    </row>
    <row r="95" spans="1:11" x14ac:dyDescent="0.2">
      <c r="A95" s="5"/>
      <c r="B95" s="25">
        <v>46</v>
      </c>
      <c r="C95" s="295" t="s">
        <v>325</v>
      </c>
      <c r="D95" s="131"/>
      <c r="E95" s="85"/>
      <c r="F95" s="115">
        <v>0</v>
      </c>
      <c r="G95" s="340">
        <f>IF(D95=0,0,IF(D95&lt;0,(F95/D95-1)*-1,(F95/D95-1)*1))</f>
        <v>0</v>
      </c>
      <c r="H95" s="115">
        <v>0</v>
      </c>
      <c r="I95" s="341">
        <f>IF(F95=0,0,IF(F95&lt;0,((((H95/$H$7)/(F95/$F$7))-1)*-1),((((H95/$H$7)/(F95/$F$7))-1)*1)))</f>
        <v>0</v>
      </c>
    </row>
    <row r="96" spans="1:11" x14ac:dyDescent="0.2">
      <c r="A96" s="5"/>
      <c r="B96" s="25">
        <v>47</v>
      </c>
      <c r="C96" s="295" t="s">
        <v>326</v>
      </c>
      <c r="D96" s="131"/>
      <c r="E96" s="85"/>
      <c r="F96" s="115">
        <v>0</v>
      </c>
      <c r="G96" s="340">
        <f>IF(D96=0,0,IF(D96&lt;0,(F96/D96-1)*-1,(F96/D96-1)*1))</f>
        <v>0</v>
      </c>
      <c r="H96" s="115">
        <v>0</v>
      </c>
      <c r="I96" s="341">
        <f>IF(F96=0,0,IF(F96&lt;0,((((H96/$H$7)/(F96/$F$7))-1)*-1),((((H96/$H$7)/(F96/$F$7))-1)*1)))</f>
        <v>0</v>
      </c>
    </row>
    <row r="97" spans="1:11" x14ac:dyDescent="0.2">
      <c r="A97" s="5"/>
      <c r="B97" s="25"/>
      <c r="C97" s="295" t="s">
        <v>404</v>
      </c>
      <c r="D97" s="131"/>
      <c r="E97" s="83"/>
      <c r="F97" s="115">
        <v>0</v>
      </c>
      <c r="G97" s="340">
        <f>IF(D97=0,0,IF(D97&lt;0,(F97/D97-1)*-1,(F97/D97-1)*1))</f>
        <v>0</v>
      </c>
      <c r="H97" s="115">
        <v>0</v>
      </c>
      <c r="I97" s="343"/>
    </row>
    <row r="98" spans="1:11" x14ac:dyDescent="0.2">
      <c r="A98" s="5"/>
      <c r="B98" s="25"/>
      <c r="C98" s="292"/>
      <c r="D98" s="86"/>
      <c r="E98" s="87"/>
      <c r="F98" s="116"/>
      <c r="G98" s="338"/>
      <c r="H98" s="116"/>
      <c r="I98" s="351"/>
    </row>
    <row r="99" spans="1:11" x14ac:dyDescent="0.2">
      <c r="A99" s="5"/>
      <c r="B99" s="80">
        <v>48</v>
      </c>
      <c r="C99" s="304" t="s">
        <v>406</v>
      </c>
      <c r="D99" s="98">
        <f>SUM(D92-D94-D95-D96+D97)</f>
        <v>0</v>
      </c>
      <c r="E99" s="125"/>
      <c r="F99" s="98">
        <f>SUM(F92-F94-F95-F96+F97)</f>
        <v>0</v>
      </c>
      <c r="G99" s="352">
        <f>IF(D99=0,0,IF(D99&lt;0,(F99/D99-1)*-1,(F99/D99-1)*1))</f>
        <v>0</v>
      </c>
      <c r="H99" s="98">
        <f>SUM(H92-H94-H95-H96+H97)</f>
        <v>0</v>
      </c>
      <c r="I99" s="353"/>
    </row>
    <row r="100" spans="1:11" x14ac:dyDescent="0.2">
      <c r="A100" s="5"/>
      <c r="B100" s="25"/>
      <c r="C100" s="295"/>
      <c r="D100" s="84"/>
      <c r="E100" s="85"/>
      <c r="F100" s="115"/>
      <c r="G100" s="340"/>
      <c r="H100" s="115"/>
      <c r="I100" s="341"/>
    </row>
    <row r="101" spans="1:11" x14ac:dyDescent="0.2">
      <c r="A101" s="5"/>
      <c r="B101" s="25">
        <v>49</v>
      </c>
      <c r="C101" s="295" t="s">
        <v>327</v>
      </c>
      <c r="D101" s="131"/>
      <c r="E101" s="85"/>
      <c r="F101" s="115">
        <v>0</v>
      </c>
      <c r="G101" s="340">
        <f t="shared" ref="G101:G106" si="8">IF(D101=0,0,IF(D101&lt;0,(F101/D101-1)*-1,(F101/D101-1)*1))</f>
        <v>0</v>
      </c>
      <c r="H101" s="115">
        <v>0</v>
      </c>
      <c r="I101" s="341">
        <f>IF(F101=0,0,IF(F101&lt;0,((((H101/$H$7)/(F101/$F$7))-1)*-1),((((H101/$H$7)/(F101/$F$7))-1)*1)))</f>
        <v>0</v>
      </c>
    </row>
    <row r="102" spans="1:11" x14ac:dyDescent="0.2">
      <c r="A102" s="5"/>
      <c r="B102" s="25"/>
      <c r="C102" s="295" t="s">
        <v>395</v>
      </c>
      <c r="D102" s="131"/>
      <c r="E102" s="85"/>
      <c r="F102" s="115">
        <v>0</v>
      </c>
      <c r="G102" s="340">
        <f t="shared" si="8"/>
        <v>0</v>
      </c>
      <c r="H102" s="115">
        <v>0</v>
      </c>
      <c r="I102" s="341"/>
    </row>
    <row r="103" spans="1:11" x14ac:dyDescent="0.2">
      <c r="A103" s="5"/>
      <c r="B103" s="25">
        <v>50</v>
      </c>
      <c r="C103" s="295" t="s">
        <v>396</v>
      </c>
      <c r="D103" s="131"/>
      <c r="E103" s="85"/>
      <c r="F103" s="115">
        <v>0</v>
      </c>
      <c r="G103" s="340">
        <f t="shared" si="8"/>
        <v>0</v>
      </c>
      <c r="H103" s="115">
        <v>0</v>
      </c>
      <c r="I103" s="341">
        <f>IF(F103=0,0,IF(F103&lt;0,((((H103/$H$7)/(F103/$F$7))-1)*-1),((((H103/$H$7)/(F103/$F$7))-1)*1)))</f>
        <v>0</v>
      </c>
    </row>
    <row r="104" spans="1:11" x14ac:dyDescent="0.2">
      <c r="A104" s="5"/>
      <c r="B104" s="25"/>
      <c r="C104" s="295" t="s">
        <v>397</v>
      </c>
      <c r="D104" s="131"/>
      <c r="E104" s="85"/>
      <c r="F104" s="115">
        <v>0</v>
      </c>
      <c r="G104" s="340">
        <f t="shared" si="8"/>
        <v>0</v>
      </c>
      <c r="H104" s="115">
        <v>0</v>
      </c>
      <c r="I104" s="341"/>
    </row>
    <row r="105" spans="1:11" x14ac:dyDescent="0.2">
      <c r="A105" s="5"/>
      <c r="B105" s="25"/>
      <c r="C105" s="295" t="s">
        <v>399</v>
      </c>
      <c r="D105" s="131"/>
      <c r="E105" s="85"/>
      <c r="F105" s="115">
        <v>0</v>
      </c>
      <c r="G105" s="340">
        <f t="shared" si="8"/>
        <v>0</v>
      </c>
      <c r="H105" s="115">
        <v>0</v>
      </c>
      <c r="I105" s="341"/>
    </row>
    <row r="106" spans="1:11" x14ac:dyDescent="0.2">
      <c r="A106" s="5"/>
      <c r="B106" s="25"/>
      <c r="C106" s="295"/>
      <c r="D106" s="128"/>
      <c r="E106" s="85"/>
      <c r="F106" s="115"/>
      <c r="G106" s="340">
        <f t="shared" si="8"/>
        <v>0</v>
      </c>
      <c r="H106" s="115"/>
      <c r="I106" s="341"/>
    </row>
    <row r="107" spans="1:11" x14ac:dyDescent="0.2">
      <c r="A107" s="5"/>
      <c r="B107" s="25"/>
      <c r="C107" s="295"/>
      <c r="D107" s="84"/>
      <c r="E107" s="85"/>
      <c r="F107" s="115"/>
      <c r="G107" s="340"/>
      <c r="H107" s="115"/>
      <c r="I107" s="341"/>
    </row>
    <row r="108" spans="1:11" x14ac:dyDescent="0.2">
      <c r="A108" s="5"/>
      <c r="B108" s="25"/>
      <c r="C108" s="300"/>
      <c r="D108" s="82"/>
      <c r="E108" s="83"/>
      <c r="F108" s="114"/>
      <c r="G108" s="342"/>
      <c r="H108" s="114"/>
      <c r="I108" s="343"/>
    </row>
    <row r="109" spans="1:11" x14ac:dyDescent="0.2">
      <c r="A109" s="5"/>
      <c r="B109" s="80" t="s">
        <v>328</v>
      </c>
      <c r="C109" s="304" t="s">
        <v>405</v>
      </c>
      <c r="D109" s="98">
        <f>SUM(D99-D102-D101+D103+D105+D104+D106)</f>
        <v>0</v>
      </c>
      <c r="E109" s="81"/>
      <c r="F109" s="98">
        <f>SUM(F99-F102-F101+F103+F105+F104+F106)</f>
        <v>0</v>
      </c>
      <c r="G109" s="346">
        <f>IF(D109=0,0,IF(D109&lt;0,(F109/D109-1)*-1,(F109/D109-1)*1))</f>
        <v>0</v>
      </c>
      <c r="H109" s="98">
        <f>SUM(H99-H102-H101+H103+H105+H104+H106)</f>
        <v>0</v>
      </c>
      <c r="I109" s="347">
        <f>IF(F109=0,0,IF(F109&lt;0,((((H109/$H$7)/(F109/$F$7))-1)*-1),((((H109/$H$7)/(F109/$F$7))-1)*1)))</f>
        <v>0</v>
      </c>
      <c r="K109" s="103"/>
    </row>
    <row r="110" spans="1:11" x14ac:dyDescent="0.2">
      <c r="A110" s="5"/>
      <c r="B110" s="25"/>
      <c r="C110" s="300"/>
      <c r="D110" s="82"/>
      <c r="E110" s="83"/>
      <c r="F110" s="114"/>
      <c r="G110" s="342"/>
      <c r="H110" s="114"/>
      <c r="I110" s="343"/>
    </row>
    <row r="111" spans="1:11" x14ac:dyDescent="0.2">
      <c r="A111" s="5"/>
      <c r="B111" s="25" t="s">
        <v>329</v>
      </c>
      <c r="C111" s="295" t="s">
        <v>330</v>
      </c>
      <c r="D111" s="131"/>
      <c r="E111" s="85"/>
      <c r="F111" s="115">
        <v>0</v>
      </c>
      <c r="G111" s="340">
        <f>IF(D111=0,0,IF(D111&lt;0,(F111/D111-1)*-1,(F111/D111-1)*1))</f>
        <v>0</v>
      </c>
      <c r="H111" s="115">
        <v>0</v>
      </c>
      <c r="I111" s="341">
        <f>IF(F111=0,0,IF(F111&lt;0,((((H111/$H$7)/(F111/$F$7))-1)*-1),((((H111/$H$7)/(F111/$F$7))-1)*1)))</f>
        <v>0</v>
      </c>
    </row>
    <row r="112" spans="1:11" x14ac:dyDescent="0.2">
      <c r="A112" s="5"/>
      <c r="B112" s="25" t="s">
        <v>331</v>
      </c>
      <c r="C112" s="295" t="s">
        <v>332</v>
      </c>
      <c r="D112" s="131"/>
      <c r="E112" s="85"/>
      <c r="F112" s="115">
        <v>0</v>
      </c>
      <c r="G112" s="340">
        <f>IF(D112=0,0,IF(D112&lt;0,(F112/D112-1)*-1,(F112/D112-1)*1))</f>
        <v>0</v>
      </c>
      <c r="H112" s="115">
        <v>0</v>
      </c>
      <c r="I112" s="341">
        <f>IF(F112=0,0,IF(F112&lt;0,((((H112/$H$7)/(F112/$F$7))-1)*-1),((((H112/$H$7)/(F112/$F$7))-1)*1)))</f>
        <v>0</v>
      </c>
    </row>
    <row r="113" spans="1:11" x14ac:dyDescent="0.2">
      <c r="A113" s="5"/>
      <c r="B113" s="25"/>
      <c r="C113" s="300"/>
      <c r="D113" s="82"/>
      <c r="E113" s="83"/>
      <c r="F113" s="114"/>
      <c r="G113" s="342"/>
      <c r="H113" s="114"/>
      <c r="I113" s="343"/>
    </row>
    <row r="114" spans="1:11" x14ac:dyDescent="0.2">
      <c r="A114" s="5"/>
      <c r="B114" s="80" t="s">
        <v>333</v>
      </c>
      <c r="C114" s="304" t="s">
        <v>334</v>
      </c>
      <c r="D114" s="98">
        <f>SUM(D109+D111-D112)</f>
        <v>0</v>
      </c>
      <c r="E114" s="81"/>
      <c r="F114" s="98">
        <f>SUM(F109+F111-F112)</f>
        <v>0</v>
      </c>
      <c r="G114" s="346">
        <f>IF(D114=0,0,IF(D114&lt;0,(F114/D114-1)*-1,(F114/D114-1)*1))</f>
        <v>0</v>
      </c>
      <c r="H114" s="98">
        <f>SUM(H109+H111-H112)</f>
        <v>0</v>
      </c>
      <c r="I114" s="347">
        <f>IF(F114=0,0,IF(F114&lt;0,((((H114/$H$7)/(F114/$F$7))-1)*-1),((((H114/$H$7)/(F114/$F$7))-1)*1)))</f>
        <v>0</v>
      </c>
    </row>
    <row r="115" spans="1:11" x14ac:dyDescent="0.2">
      <c r="A115" s="5"/>
      <c r="B115" s="25"/>
      <c r="C115" s="300"/>
      <c r="D115" s="82"/>
      <c r="E115" s="83"/>
      <c r="F115" s="114"/>
      <c r="G115" s="342"/>
      <c r="H115" s="114"/>
      <c r="I115" s="343"/>
    </row>
    <row r="116" spans="1:11" x14ac:dyDescent="0.2">
      <c r="A116" s="5"/>
      <c r="B116" s="25" t="s">
        <v>335</v>
      </c>
      <c r="C116" s="295" t="s">
        <v>336</v>
      </c>
      <c r="D116" s="131"/>
      <c r="E116" s="85"/>
      <c r="F116" s="115">
        <v>0</v>
      </c>
      <c r="G116" s="340">
        <f>IF(D116=0,0,IF(D116&lt;0,(F116/D116-1)*-1,(F116/D116-1)*1))</f>
        <v>0</v>
      </c>
      <c r="H116" s="115">
        <v>0</v>
      </c>
      <c r="I116" s="341">
        <f>IF(F116=0,0,IF(F116&lt;0,((((H116/$H$7)/(F116/$F$7))-1)*-1),((((H116/$H$7)/(F116/$F$7))-1)*1)))</f>
        <v>0</v>
      </c>
    </row>
    <row r="117" spans="1:11" x14ac:dyDescent="0.2">
      <c r="A117" s="5"/>
      <c r="B117" s="25" t="s">
        <v>337</v>
      </c>
      <c r="C117" s="295" t="s">
        <v>338</v>
      </c>
      <c r="D117" s="131"/>
      <c r="E117" s="85"/>
      <c r="F117" s="115">
        <v>0</v>
      </c>
      <c r="G117" s="340">
        <f>IF(D117=0,0,IF(D117&lt;0,(F117/D117-1)*-1,(F117/D117-1)*1))</f>
        <v>0</v>
      </c>
      <c r="H117" s="115">
        <v>0</v>
      </c>
      <c r="I117" s="341">
        <f>IF(F117=0,0,IF(F117&lt;0,((((H117/$H$7)/(F117/$F$7))-1)*-1),((((H117/$H$7)/(F117/$F$7))-1)*1)))</f>
        <v>0</v>
      </c>
    </row>
    <row r="118" spans="1:11" x14ac:dyDescent="0.2">
      <c r="A118" s="5"/>
      <c r="B118" s="25" t="s">
        <v>339</v>
      </c>
      <c r="C118" s="295" t="s">
        <v>340</v>
      </c>
      <c r="D118" s="131"/>
      <c r="E118" s="85"/>
      <c r="F118" s="115">
        <v>0</v>
      </c>
      <c r="G118" s="340">
        <f>IF(D118=0,0,IF(D118&lt;0,(F118/D118-1)*-1,(F118/D118-1)*1))</f>
        <v>0</v>
      </c>
      <c r="H118" s="115">
        <v>0</v>
      </c>
      <c r="I118" s="341">
        <f>IF(F118=0,0,IF(F118&lt;0,((((H118/$H$7)/(F118/$F$7))-1)*-1),((((H118/$H$7)/(F118/$F$7))-1)*1)))</f>
        <v>0</v>
      </c>
    </row>
    <row r="119" spans="1:11" x14ac:dyDescent="0.2">
      <c r="A119" s="5"/>
      <c r="B119" s="25"/>
      <c r="C119" s="300"/>
      <c r="D119" s="114"/>
      <c r="E119" s="83"/>
      <c r="F119" s="114"/>
      <c r="G119" s="342"/>
      <c r="H119" s="114"/>
      <c r="I119" s="343"/>
    </row>
    <row r="120" spans="1:11" ht="13.5" thickBot="1" x14ac:dyDescent="0.25">
      <c r="A120" s="5"/>
      <c r="B120" s="88">
        <v>58</v>
      </c>
      <c r="C120" s="334" t="s">
        <v>341</v>
      </c>
      <c r="D120" s="99">
        <f>SUM(D114-D116+D117-D118)</f>
        <v>0</v>
      </c>
      <c r="E120" s="89"/>
      <c r="F120" s="99">
        <f>SUM(F114-F116+F117-F118)</f>
        <v>0</v>
      </c>
      <c r="G120" s="355">
        <f>IF(D120=0,0,IF(D120&lt;0,(F120/D120-1)*-1,(F120/D120-1)*1))</f>
        <v>0</v>
      </c>
      <c r="H120" s="99">
        <f>SUM(H114-H116+H117-H118)</f>
        <v>0</v>
      </c>
      <c r="I120" s="356">
        <f>IF(F120=0,0,IF(F120&lt;0,((((H120/$H$7)/(F120/$F$7))-1)*-1),((((H120/$H$7)/(F120/$F$7))-1)*1)))</f>
        <v>0</v>
      </c>
    </row>
    <row r="121" spans="1:11" ht="13.9" customHeight="1" x14ac:dyDescent="0.2">
      <c r="B121" s="27"/>
      <c r="C121" s="27"/>
      <c r="D121" s="27"/>
      <c r="E121" s="27"/>
      <c r="F121" s="34"/>
      <c r="G121" s="27"/>
      <c r="H121" s="27"/>
      <c r="I121" s="27"/>
    </row>
    <row r="122" spans="1:11" ht="6" customHeight="1" x14ac:dyDescent="0.2">
      <c r="F122" s="39"/>
    </row>
    <row r="123" spans="1:11" ht="6.6" customHeight="1" thickBot="1" x14ac:dyDescent="0.25">
      <c r="C123" s="10"/>
      <c r="D123" s="9"/>
      <c r="E123" s="9"/>
      <c r="F123" s="42"/>
      <c r="G123" s="9"/>
      <c r="I123" s="9"/>
    </row>
    <row r="124" spans="1:11" ht="2.4500000000000002" customHeight="1" thickBot="1" x14ac:dyDescent="0.25">
      <c r="A124" s="5"/>
      <c r="B124" s="43"/>
      <c r="C124" s="44"/>
      <c r="D124" s="44"/>
      <c r="E124" s="44"/>
      <c r="F124" s="45"/>
      <c r="G124" s="46"/>
      <c r="H124" s="75"/>
      <c r="I124" s="46"/>
    </row>
    <row r="125" spans="1:11" x14ac:dyDescent="0.2">
      <c r="A125" s="5"/>
      <c r="B125" s="104"/>
      <c r="C125" s="44" t="s">
        <v>342</v>
      </c>
      <c r="D125" s="75">
        <v>1.6661999999999999</v>
      </c>
      <c r="E125" s="46"/>
      <c r="F125" s="75">
        <v>1.8757999999999999</v>
      </c>
      <c r="G125" s="46"/>
      <c r="H125" s="75">
        <v>2.0434999999999999</v>
      </c>
      <c r="I125" s="105"/>
      <c r="J125" s="6" t="s">
        <v>251</v>
      </c>
      <c r="K125" s="49"/>
    </row>
    <row r="126" spans="1:11" x14ac:dyDescent="0.2">
      <c r="A126" s="5"/>
      <c r="B126" s="30"/>
      <c r="C126" s="5" t="s">
        <v>343</v>
      </c>
      <c r="D126" s="47">
        <v>1.7593000000000001</v>
      </c>
      <c r="F126" s="47">
        <v>1.6746000000000001</v>
      </c>
      <c r="H126" s="47">
        <v>1.954991633466135</v>
      </c>
      <c r="I126" s="48"/>
      <c r="J126" s="6" t="s">
        <v>251</v>
      </c>
      <c r="K126" s="49"/>
    </row>
    <row r="127" spans="1:11" x14ac:dyDescent="0.2">
      <c r="A127" s="5"/>
      <c r="B127" s="30"/>
      <c r="C127" s="5" t="s">
        <v>344</v>
      </c>
      <c r="D127" s="47">
        <v>11.87</v>
      </c>
      <c r="F127" s="47">
        <v>11.87</v>
      </c>
      <c r="H127" s="47">
        <v>11.87</v>
      </c>
      <c r="I127" s="48"/>
    </row>
    <row r="128" spans="1:11" ht="13.5" thickBot="1" x14ac:dyDescent="0.25">
      <c r="A128" s="5"/>
      <c r="B128" s="106"/>
      <c r="C128" s="107" t="s">
        <v>345</v>
      </c>
      <c r="D128" s="108">
        <v>13.25</v>
      </c>
      <c r="E128" s="50"/>
      <c r="F128" s="108">
        <v>13.25</v>
      </c>
      <c r="G128" s="50"/>
      <c r="H128" s="108">
        <v>13.25</v>
      </c>
      <c r="I128" s="109"/>
    </row>
    <row r="129" spans="1:9" ht="4.1500000000000004" customHeight="1" x14ac:dyDescent="0.2">
      <c r="A129" s="5"/>
      <c r="B129" s="96"/>
      <c r="C129" s="92"/>
      <c r="D129" s="93"/>
      <c r="E129" s="94"/>
      <c r="F129" s="95"/>
      <c r="G129" s="94"/>
      <c r="H129" s="95"/>
      <c r="I129" s="97"/>
    </row>
    <row r="130" spans="1:9" x14ac:dyDescent="0.2">
      <c r="A130" s="5"/>
      <c r="C130" s="5"/>
      <c r="D130" s="51"/>
      <c r="F130" s="49"/>
      <c r="H130" s="49"/>
    </row>
    <row r="131" spans="1:9" x14ac:dyDescent="0.2">
      <c r="A131" s="5"/>
      <c r="C131" s="5"/>
      <c r="D131" s="51"/>
      <c r="F131" s="49"/>
      <c r="H131" s="49"/>
    </row>
    <row r="132" spans="1:9" ht="15.75" x14ac:dyDescent="0.25">
      <c r="A132" s="5"/>
      <c r="B132" s="982" t="s">
        <v>267</v>
      </c>
      <c r="C132" s="982"/>
      <c r="D132" s="982"/>
      <c r="E132" s="982"/>
      <c r="F132" s="982"/>
      <c r="G132" s="982"/>
      <c r="H132" s="982"/>
      <c r="I132" s="982"/>
    </row>
    <row r="133" spans="1:9" x14ac:dyDescent="0.2">
      <c r="A133" s="5"/>
      <c r="C133" s="5"/>
      <c r="D133" s="51"/>
      <c r="F133" s="49"/>
      <c r="H133" s="49"/>
    </row>
    <row r="134" spans="1:9" x14ac:dyDescent="0.2">
      <c r="A134" s="5"/>
      <c r="B134" s="13" t="str">
        <f>$B$5</f>
        <v>Cliente:</v>
      </c>
      <c r="C134" s="35" t="str">
        <f>$C$5</f>
        <v>Couroquimica</v>
      </c>
      <c r="D134" s="16">
        <f>D81</f>
        <v>41639</v>
      </c>
      <c r="E134" s="11" t="s">
        <v>346</v>
      </c>
      <c r="F134" s="16">
        <f>F81</f>
        <v>42004</v>
      </c>
      <c r="G134" s="11" t="s">
        <v>346</v>
      </c>
      <c r="H134" s="16">
        <f>H81</f>
        <v>42369</v>
      </c>
      <c r="I134" s="11" t="s">
        <v>346</v>
      </c>
    </row>
    <row r="135" spans="1:9" x14ac:dyDescent="0.2">
      <c r="A135" s="5"/>
      <c r="B135" s="13" t="str">
        <f>$B$6</f>
        <v>Código:</v>
      </c>
      <c r="C135" s="35">
        <f>$C$6</f>
        <v>0</v>
      </c>
      <c r="D135" s="11" t="s">
        <v>347</v>
      </c>
      <c r="E135" s="11"/>
      <c r="F135" s="11" t="s">
        <v>347</v>
      </c>
      <c r="G135" s="11"/>
      <c r="H135" s="11" t="s">
        <v>347</v>
      </c>
    </row>
    <row r="136" spans="1:9" ht="13.5" thickBot="1" x14ac:dyDescent="0.25">
      <c r="A136" s="5"/>
      <c r="D136" s="36" t="s">
        <v>348</v>
      </c>
      <c r="F136" s="36" t="s">
        <v>348</v>
      </c>
      <c r="H136" s="36" t="s">
        <v>348</v>
      </c>
    </row>
    <row r="137" spans="1:9" x14ac:dyDescent="0.2">
      <c r="A137" s="5"/>
      <c r="B137" s="18"/>
      <c r="C137" s="19"/>
      <c r="D137" s="21"/>
      <c r="E137" s="21"/>
      <c r="F137" s="79"/>
      <c r="G137" s="21"/>
      <c r="H137" s="52"/>
      <c r="I137" s="52"/>
    </row>
    <row r="138" spans="1:9" x14ac:dyDescent="0.2">
      <c r="A138" s="5"/>
      <c r="B138" s="25" t="str">
        <f>B10</f>
        <v>01</v>
      </c>
      <c r="C138" s="295" t="str">
        <f>C10</f>
        <v>Disponibilidades / Aplicações Financeiras</v>
      </c>
      <c r="D138" s="297">
        <f t="shared" ref="D138:F143" si="9">(D10/D$125)</f>
        <v>0</v>
      </c>
      <c r="E138" s="296"/>
      <c r="F138" s="297">
        <f t="shared" si="9"/>
        <v>0</v>
      </c>
      <c r="G138" s="296">
        <f t="shared" ref="G138:G143" si="10">IF(D138=0,0,IF(D138&lt;0,(F138/D138-1)*-1,(F138/D138-1)*1))</f>
        <v>0</v>
      </c>
      <c r="H138" s="297">
        <f t="shared" ref="H138:H143" si="11">(H10/H$125)</f>
        <v>0</v>
      </c>
      <c r="I138" s="299">
        <f t="shared" ref="I138:I143" si="12">IF(F138=0,0,IF(F138&lt;0,((((H138/F138))-1)*-1),((((H138/F138))-1)*1)))</f>
        <v>0</v>
      </c>
    </row>
    <row r="139" spans="1:9" x14ac:dyDescent="0.2">
      <c r="A139" s="5"/>
      <c r="B139" s="25" t="str">
        <f>B11</f>
        <v>02</v>
      </c>
      <c r="C139" s="295" t="str">
        <f>C11</f>
        <v>Duplicatas a Receber</v>
      </c>
      <c r="D139" s="297">
        <f t="shared" si="9"/>
        <v>0</v>
      </c>
      <c r="E139" s="296"/>
      <c r="F139" s="297">
        <f t="shared" si="9"/>
        <v>0</v>
      </c>
      <c r="G139" s="296">
        <f t="shared" si="10"/>
        <v>0</v>
      </c>
      <c r="H139" s="297">
        <f t="shared" si="11"/>
        <v>0</v>
      </c>
      <c r="I139" s="299">
        <f t="shared" si="12"/>
        <v>0</v>
      </c>
    </row>
    <row r="140" spans="1:9" x14ac:dyDescent="0.2">
      <c r="A140" s="5"/>
      <c r="B140" s="25" t="s">
        <v>349</v>
      </c>
      <c r="C140" s="295" t="str">
        <f>C12</f>
        <v>Relacionamento com Coligadas e Controladas</v>
      </c>
      <c r="D140" s="297">
        <f t="shared" si="9"/>
        <v>0</v>
      </c>
      <c r="E140" s="296"/>
      <c r="F140" s="297">
        <f t="shared" si="9"/>
        <v>0</v>
      </c>
      <c r="G140" s="296">
        <f t="shared" si="10"/>
        <v>0</v>
      </c>
      <c r="H140" s="297">
        <f t="shared" si="11"/>
        <v>0</v>
      </c>
      <c r="I140" s="299">
        <f t="shared" si="12"/>
        <v>0</v>
      </c>
    </row>
    <row r="141" spans="1:9" x14ac:dyDescent="0.2">
      <c r="A141" s="5"/>
      <c r="B141" s="25" t="s">
        <v>276</v>
      </c>
      <c r="C141" s="295" t="str">
        <f>C13</f>
        <v>Estoques</v>
      </c>
      <c r="D141" s="297">
        <f t="shared" si="9"/>
        <v>0</v>
      </c>
      <c r="E141" s="296"/>
      <c r="F141" s="297">
        <f t="shared" si="9"/>
        <v>0</v>
      </c>
      <c r="G141" s="296">
        <f t="shared" si="10"/>
        <v>0</v>
      </c>
      <c r="H141" s="297">
        <f t="shared" si="11"/>
        <v>0</v>
      </c>
      <c r="I141" s="299">
        <f t="shared" si="12"/>
        <v>0</v>
      </c>
    </row>
    <row r="142" spans="1:9" x14ac:dyDescent="0.2">
      <c r="A142" s="5"/>
      <c r="B142" s="25" t="s">
        <v>278</v>
      </c>
      <c r="C142" s="295" t="str">
        <f>C14</f>
        <v>Adto a Fornecedores de Materiais</v>
      </c>
      <c r="D142" s="297">
        <f t="shared" si="9"/>
        <v>0</v>
      </c>
      <c r="E142" s="296"/>
      <c r="F142" s="297">
        <f t="shared" si="9"/>
        <v>0</v>
      </c>
      <c r="G142" s="296">
        <f t="shared" si="10"/>
        <v>0</v>
      </c>
      <c r="H142" s="297">
        <f t="shared" si="11"/>
        <v>0</v>
      </c>
      <c r="I142" s="299">
        <f t="shared" si="12"/>
        <v>0</v>
      </c>
    </row>
    <row r="143" spans="1:9" x14ac:dyDescent="0.2">
      <c r="A143" s="5"/>
      <c r="B143" s="25"/>
      <c r="C143" s="295" t="str">
        <f>C15</f>
        <v>Outros Creditos de Curto Prazo</v>
      </c>
      <c r="D143" s="297">
        <f t="shared" si="9"/>
        <v>0</v>
      </c>
      <c r="E143" s="296"/>
      <c r="F143" s="297">
        <f t="shared" si="9"/>
        <v>0</v>
      </c>
      <c r="G143" s="296">
        <f t="shared" si="10"/>
        <v>0</v>
      </c>
      <c r="H143" s="297">
        <f t="shared" si="11"/>
        <v>0</v>
      </c>
      <c r="I143" s="299">
        <f t="shared" si="12"/>
        <v>0</v>
      </c>
    </row>
    <row r="144" spans="1:9" x14ac:dyDescent="0.2">
      <c r="A144" s="5"/>
      <c r="B144" s="25"/>
      <c r="C144" s="358" t="str">
        <f>C16</f>
        <v>Instrumentos Derivativos</v>
      </c>
      <c r="D144" s="297"/>
      <c r="E144" s="296"/>
      <c r="F144" s="297"/>
      <c r="G144" s="296"/>
      <c r="H144" s="297"/>
      <c r="I144" s="299"/>
    </row>
    <row r="145" spans="1:9" x14ac:dyDescent="0.2">
      <c r="A145" s="5"/>
      <c r="B145" s="25"/>
      <c r="C145" s="300"/>
      <c r="D145" s="301"/>
      <c r="E145" s="300"/>
      <c r="F145" s="301"/>
      <c r="G145" s="300"/>
      <c r="H145" s="301"/>
      <c r="I145" s="303"/>
    </row>
    <row r="146" spans="1:9" x14ac:dyDescent="0.2">
      <c r="A146" s="5"/>
      <c r="B146" s="80" t="s">
        <v>280</v>
      </c>
      <c r="C146" s="304" t="str">
        <f>C18</f>
        <v>TOTAL DO  ATIVO CIRCULANTE</v>
      </c>
      <c r="D146" s="305">
        <f>(D18/D$125)</f>
        <v>0</v>
      </c>
      <c r="E146" s="306"/>
      <c r="F146" s="305">
        <f>(F18/F$125)</f>
        <v>0</v>
      </c>
      <c r="G146" s="306">
        <f>IF(D146=0,0,IF(D146&lt;0,(F146/D146-1)*-1,(F146/D146-1)*1))</f>
        <v>0</v>
      </c>
      <c r="H146" s="305">
        <f>(H18/H$125)</f>
        <v>0</v>
      </c>
      <c r="I146" s="308">
        <f>IF(F146=0,0,IF(F146&lt;0,((((H146/F146))-1)*-1),((((H146/F146))-1)*1)))</f>
        <v>0</v>
      </c>
    </row>
    <row r="147" spans="1:9" x14ac:dyDescent="0.2">
      <c r="A147" s="5"/>
      <c r="B147" s="25"/>
      <c r="C147" s="300"/>
      <c r="D147" s="301"/>
      <c r="E147" s="309"/>
      <c r="F147" s="301"/>
      <c r="G147" s="309"/>
      <c r="H147" s="301"/>
      <c r="I147" s="303"/>
    </row>
    <row r="148" spans="1:9" x14ac:dyDescent="0.2">
      <c r="A148" s="5"/>
      <c r="B148" s="25" t="s">
        <v>282</v>
      </c>
      <c r="C148" s="295" t="str">
        <f>C20</f>
        <v>Coligadas e Controladas / Longo Prazo</v>
      </c>
      <c r="D148" s="297">
        <f>(D20/D$125)</f>
        <v>0</v>
      </c>
      <c r="E148" s="311"/>
      <c r="F148" s="297">
        <f>(F20/F$125)</f>
        <v>0</v>
      </c>
      <c r="G148" s="327">
        <f>IF(D148=0,0,IF(D148&lt;0,(F148/D148-1)*-1,(F148/D148-1)*1))</f>
        <v>0</v>
      </c>
      <c r="H148" s="297">
        <f>(H20/H$125)</f>
        <v>0</v>
      </c>
      <c r="I148" s="299">
        <f>IF(F148=0,0,IF(F148&lt;0,((((H148/F148))-1)*-1),((((H148/F148))-1)*1)))</f>
        <v>0</v>
      </c>
    </row>
    <row r="149" spans="1:9" x14ac:dyDescent="0.2">
      <c r="A149" s="5"/>
      <c r="B149" s="25" t="s">
        <v>284</v>
      </c>
      <c r="C149" s="295" t="str">
        <f>C21</f>
        <v>Outros Créditos de Longo Prazo</v>
      </c>
      <c r="D149" s="297">
        <f>(D21/D$125)</f>
        <v>0</v>
      </c>
      <c r="E149" s="311"/>
      <c r="F149" s="297">
        <f>(F21/F$125)</f>
        <v>0</v>
      </c>
      <c r="G149" s="327">
        <f>IF(D149=0,0,IF(D149&lt;0,(F149/D149-1)*-1,(F149/D149-1)*1))</f>
        <v>0</v>
      </c>
      <c r="H149" s="297">
        <f>(H21/H$125)</f>
        <v>0</v>
      </c>
      <c r="I149" s="299">
        <f>IF(F149=0,0,IF(F149&lt;0,((((H149/F149))-1)*-1),((((H149/F149))-1)*1)))</f>
        <v>0</v>
      </c>
    </row>
    <row r="150" spans="1:9" x14ac:dyDescent="0.2">
      <c r="A150" s="5"/>
      <c r="B150" s="25"/>
      <c r="C150" s="300"/>
      <c r="D150" s="301"/>
      <c r="E150" s="309"/>
      <c r="F150" s="301"/>
      <c r="G150" s="309"/>
      <c r="H150" s="301"/>
      <c r="I150" s="303"/>
    </row>
    <row r="151" spans="1:9" x14ac:dyDescent="0.2">
      <c r="A151" s="5"/>
      <c r="B151" s="80" t="s">
        <v>286</v>
      </c>
      <c r="C151" s="304" t="str">
        <f>C23</f>
        <v>TOTAL  DOS  REALIZÁVEIS A LONGO PRAZO</v>
      </c>
      <c r="D151" s="305">
        <f>(D23/D$125)</f>
        <v>0</v>
      </c>
      <c r="E151" s="306"/>
      <c r="F151" s="305">
        <f>(F23/F$125)</f>
        <v>0</v>
      </c>
      <c r="G151" s="306">
        <f>IF(D151=0,0,IF(D151&lt;0,(F151/D151-1)*-1,(F151/D151-1)*1))</f>
        <v>0</v>
      </c>
      <c r="H151" s="305">
        <f>(H23/H$125)</f>
        <v>0</v>
      </c>
      <c r="I151" s="308">
        <f>IF(F151=0,0,IF(F151&lt;0,((((H151/F151))-1)*-1),((((H151/F151))-1)*1)))</f>
        <v>0</v>
      </c>
    </row>
    <row r="152" spans="1:9" x14ac:dyDescent="0.2">
      <c r="A152" s="5"/>
      <c r="B152" s="25"/>
      <c r="C152" s="300"/>
      <c r="D152" s="301"/>
      <c r="E152" s="309"/>
      <c r="F152" s="301"/>
      <c r="G152" s="309"/>
      <c r="H152" s="301"/>
      <c r="I152" s="303"/>
    </row>
    <row r="153" spans="1:9" x14ac:dyDescent="0.2">
      <c r="A153" s="5"/>
      <c r="B153" s="25" t="s">
        <v>288</v>
      </c>
      <c r="C153" s="295" t="str">
        <f t="shared" ref="C153:C158" si="13">C25</f>
        <v>Imobilizado Técnico</v>
      </c>
      <c r="D153" s="297">
        <f t="shared" ref="D153:F158" si="14">(D25/D$125)</f>
        <v>0</v>
      </c>
      <c r="E153" s="311"/>
      <c r="F153" s="297">
        <f t="shared" si="14"/>
        <v>0</v>
      </c>
      <c r="G153" s="327">
        <f>IF(D153=0,0,IF(D153&lt;0,(F153/D153-1)*-1,(F153/D153-1)*1))</f>
        <v>0</v>
      </c>
      <c r="H153" s="297">
        <f t="shared" ref="H153:H158" si="15">(H25/H$125)</f>
        <v>0</v>
      </c>
      <c r="I153" s="299">
        <f>IF(F153=0,0,IF(F153&lt;0,((((H153/F153))-1)*-1),((((H153/F153))-1)*1)))</f>
        <v>0</v>
      </c>
    </row>
    <row r="154" spans="1:9" x14ac:dyDescent="0.2">
      <c r="A154" s="5"/>
      <c r="B154" s="29">
        <v>11</v>
      </c>
      <c r="C154" s="313" t="str">
        <f t="shared" si="13"/>
        <v>(-) Depreciação Acumulada</v>
      </c>
      <c r="D154" s="297">
        <f t="shared" si="14"/>
        <v>0</v>
      </c>
      <c r="E154" s="311"/>
      <c r="F154" s="297">
        <f t="shared" si="14"/>
        <v>0</v>
      </c>
      <c r="G154" s="327">
        <f>IF(D154=0,0,IF(D154&lt;0,(F154/D154-1)*-1,(F154/D154-1)*1))</f>
        <v>0</v>
      </c>
      <c r="H154" s="297">
        <f t="shared" si="15"/>
        <v>0</v>
      </c>
      <c r="I154" s="299">
        <f>IF(F154=0,0,IF(F154&lt;0,((((H154/F154))-1)*-1),((((H154/F154))-1)*1)))</f>
        <v>0</v>
      </c>
    </row>
    <row r="155" spans="1:9" x14ac:dyDescent="0.2">
      <c r="A155" s="5"/>
      <c r="B155" s="29"/>
      <c r="C155" s="294" t="str">
        <f t="shared" si="13"/>
        <v>Intangivel</v>
      </c>
      <c r="D155" s="297">
        <f t="shared" si="14"/>
        <v>0</v>
      </c>
      <c r="E155" s="311"/>
      <c r="F155" s="297">
        <f t="shared" si="14"/>
        <v>0</v>
      </c>
      <c r="G155" s="327"/>
      <c r="H155" s="297">
        <f t="shared" si="15"/>
        <v>0</v>
      </c>
      <c r="I155" s="299"/>
    </row>
    <row r="156" spans="1:9" x14ac:dyDescent="0.2">
      <c r="A156" s="5"/>
      <c r="B156" s="25">
        <v>12</v>
      </c>
      <c r="C156" s="295" t="str">
        <f t="shared" si="13"/>
        <v>Participação em Coligadas e Controladas</v>
      </c>
      <c r="D156" s="297">
        <f t="shared" si="14"/>
        <v>0</v>
      </c>
      <c r="E156" s="311"/>
      <c r="F156" s="297">
        <f t="shared" si="14"/>
        <v>0</v>
      </c>
      <c r="G156" s="327">
        <f>IF(D156=0,0,IF(D156&lt;0,(F156/D156-1)*-1,(F156/D156-1)*1))</f>
        <v>0</v>
      </c>
      <c r="H156" s="297">
        <f t="shared" si="15"/>
        <v>0</v>
      </c>
      <c r="I156" s="299">
        <f>IF(F156=0,0,IF(F156&lt;0,((((H156/F156))-1)*-1),((((H156/F156))-1)*1)))</f>
        <v>0</v>
      </c>
    </row>
    <row r="157" spans="1:9" x14ac:dyDescent="0.2">
      <c r="A157" s="5"/>
      <c r="B157" s="25">
        <v>13</v>
      </c>
      <c r="C157" s="295" t="str">
        <f t="shared" si="13"/>
        <v>Outros Investimentos</v>
      </c>
      <c r="D157" s="297">
        <f t="shared" si="14"/>
        <v>0</v>
      </c>
      <c r="E157" s="311"/>
      <c r="F157" s="297">
        <f t="shared" si="14"/>
        <v>0</v>
      </c>
      <c r="G157" s="327">
        <f>IF(D157=0,0,IF(D157&lt;0,(F157/D157-1)*-1,(F157/D157-1)*1))</f>
        <v>0</v>
      </c>
      <c r="H157" s="297">
        <f t="shared" si="15"/>
        <v>0</v>
      </c>
      <c r="I157" s="299">
        <f>IF(F157=0,0,IF(F157&lt;0,((((H157/F157))-1)*-1),((((H157/F157))-1)*1)))</f>
        <v>0</v>
      </c>
    </row>
    <row r="158" spans="1:9" x14ac:dyDescent="0.2">
      <c r="A158" s="5"/>
      <c r="B158" s="25">
        <v>14</v>
      </c>
      <c r="C158" s="292" t="str">
        <f t="shared" si="13"/>
        <v>Total dos Investimentos</v>
      </c>
      <c r="D158" s="315">
        <f t="shared" si="14"/>
        <v>0</v>
      </c>
      <c r="E158" s="314"/>
      <c r="F158" s="315">
        <f t="shared" si="14"/>
        <v>0</v>
      </c>
      <c r="G158" s="327">
        <f>IF(D158=0,0,IF(D158&lt;0,(F158/D158-1)*-1,(F158/D158-1)*1))</f>
        <v>0</v>
      </c>
      <c r="H158" s="315">
        <f t="shared" si="15"/>
        <v>0</v>
      </c>
      <c r="I158" s="316">
        <f>IF(F158=0,0,IF(F158&lt;0,((((H158/F158))-1)*-1),((((H158/F158))-1)*1)))</f>
        <v>0</v>
      </c>
    </row>
    <row r="159" spans="1:9" x14ac:dyDescent="0.2">
      <c r="A159" s="5"/>
      <c r="B159" s="30"/>
      <c r="C159" s="293"/>
      <c r="D159" s="315"/>
      <c r="E159" s="314"/>
      <c r="F159" s="315"/>
      <c r="G159" s="314"/>
      <c r="H159" s="315"/>
      <c r="I159" s="316"/>
    </row>
    <row r="160" spans="1:9" x14ac:dyDescent="0.2">
      <c r="A160" s="5"/>
      <c r="B160" s="25">
        <v>15</v>
      </c>
      <c r="C160" s="295" t="str">
        <f>C32</f>
        <v>Ativo Diferido</v>
      </c>
      <c r="D160" s="297">
        <f>(D32/D$125)</f>
        <v>0</v>
      </c>
      <c r="E160" s="311"/>
      <c r="F160" s="297">
        <f>(F32/F$125)</f>
        <v>0</v>
      </c>
      <c r="G160" s="311">
        <f>IF(D160=0,0,IF(D160&lt;0,(F160/D160-1)*-1,(F160/D160-1)*1))</f>
        <v>0</v>
      </c>
      <c r="H160" s="297">
        <f>(H32/H$125)</f>
        <v>0</v>
      </c>
      <c r="I160" s="299">
        <f>IF(F160=0,0,IF(F160&lt;0,((((H160/F160))-1)*-1),((((H160/F160))-1)*1)))</f>
        <v>0</v>
      </c>
    </row>
    <row r="161" spans="1:9" x14ac:dyDescent="0.2">
      <c r="A161" s="5"/>
      <c r="B161" s="25"/>
      <c r="C161" s="300"/>
      <c r="D161" s="301"/>
      <c r="E161" s="309"/>
      <c r="F161" s="301"/>
      <c r="G161" s="309"/>
      <c r="H161" s="301"/>
      <c r="I161" s="303"/>
    </row>
    <row r="162" spans="1:9" x14ac:dyDescent="0.2">
      <c r="A162" s="5"/>
      <c r="B162" s="80">
        <v>16</v>
      </c>
      <c r="C162" s="304" t="str">
        <f>C34</f>
        <v>TOTAL DO ATIVO PERMANENTE</v>
      </c>
      <c r="D162" s="305">
        <f>(D34/D$125)</f>
        <v>0</v>
      </c>
      <c r="E162" s="306"/>
      <c r="F162" s="305">
        <f>(F34/F$125)</f>
        <v>0</v>
      </c>
      <c r="G162" s="332">
        <f>IF(D162=0,0,IF(D162&lt;0,(F162/D162-1)*-1,(F162/D162-1)*1))</f>
        <v>0</v>
      </c>
      <c r="H162" s="305">
        <f>(H34/H$125)</f>
        <v>0</v>
      </c>
      <c r="I162" s="320">
        <f>IF(F162=0,0,IF(F162&lt;0,((((H162/F162))-1)*-1),((((H162/F162))-1)*1)))</f>
        <v>0</v>
      </c>
    </row>
    <row r="163" spans="1:9" x14ac:dyDescent="0.2">
      <c r="A163" s="5"/>
      <c r="B163" s="25"/>
      <c r="C163" s="300"/>
      <c r="D163" s="301"/>
      <c r="E163" s="309"/>
      <c r="F163" s="301"/>
      <c r="G163" s="309"/>
      <c r="H163" s="301"/>
      <c r="I163" s="303"/>
    </row>
    <row r="164" spans="1:9" ht="13.5" thickBot="1" x14ac:dyDescent="0.25">
      <c r="A164" s="5"/>
      <c r="B164" s="31">
        <v>17</v>
      </c>
      <c r="C164" s="321" t="str">
        <f>C36</f>
        <v>TOTAL DO ATIVO</v>
      </c>
      <c r="D164" s="322">
        <f>(D36/D$125)</f>
        <v>0</v>
      </c>
      <c r="E164" s="323"/>
      <c r="F164" s="322">
        <f>(F36/F$125)</f>
        <v>0</v>
      </c>
      <c r="G164" s="359">
        <f>IF(D164=0,0,IF(D164&lt;0,(F164/D164-1)*-1,(F164/D164-1)*1))</f>
        <v>0</v>
      </c>
      <c r="H164" s="322">
        <f>(H36/H$125)</f>
        <v>0</v>
      </c>
      <c r="I164" s="325">
        <f>IF(F164=0,0,IF(F164&lt;0,((((H164/F164))-1)*-1),((((H164/F164))-1)*1)))</f>
        <v>0</v>
      </c>
    </row>
    <row r="165" spans="1:9" x14ac:dyDescent="0.2">
      <c r="A165" s="5"/>
      <c r="B165" s="11"/>
      <c r="C165" s="10"/>
      <c r="D165" s="32"/>
      <c r="E165" s="28"/>
      <c r="F165" s="33"/>
      <c r="G165" s="28"/>
      <c r="H165" s="32"/>
      <c r="I165" s="28"/>
    </row>
    <row r="166" spans="1:9" x14ac:dyDescent="0.2">
      <c r="A166" s="5"/>
      <c r="B166" s="11"/>
      <c r="C166" s="10"/>
      <c r="D166" s="32"/>
      <c r="E166" s="28"/>
      <c r="F166" s="33"/>
      <c r="G166" s="28"/>
      <c r="H166" s="32"/>
      <c r="I166" s="28"/>
    </row>
    <row r="167" spans="1:9" x14ac:dyDescent="0.2">
      <c r="A167" s="5"/>
      <c r="B167" s="8"/>
      <c r="C167" s="27"/>
      <c r="D167" s="27"/>
      <c r="E167" s="27"/>
      <c r="F167" s="53"/>
      <c r="G167" s="27"/>
      <c r="H167" s="27"/>
      <c r="I167" s="27"/>
    </row>
    <row r="168" spans="1:9" ht="15.75" x14ac:dyDescent="0.25">
      <c r="A168" s="5"/>
      <c r="B168" s="983" t="s">
        <v>297</v>
      </c>
      <c r="C168" s="983"/>
      <c r="D168" s="983"/>
      <c r="E168" s="983"/>
      <c r="F168" s="983"/>
      <c r="G168" s="983"/>
      <c r="H168" s="983"/>
      <c r="I168" s="983"/>
    </row>
    <row r="169" spans="1:9" ht="15.75" x14ac:dyDescent="0.25">
      <c r="A169" s="5"/>
      <c r="B169" s="73"/>
      <c r="C169" s="73"/>
      <c r="D169" s="73"/>
      <c r="E169" s="73"/>
      <c r="F169" s="73"/>
      <c r="G169" s="73"/>
      <c r="H169" s="73"/>
      <c r="I169" s="73"/>
    </row>
    <row r="170" spans="1:9" x14ac:dyDescent="0.2">
      <c r="A170" s="5"/>
      <c r="B170" s="13" t="str">
        <f>$B$5</f>
        <v>Cliente:</v>
      </c>
      <c r="C170" s="35" t="str">
        <f>$C$5</f>
        <v>Couroquimica</v>
      </c>
      <c r="D170" s="16">
        <f t="shared" ref="D170:I170" si="16">D134</f>
        <v>41639</v>
      </c>
      <c r="E170" s="36" t="str">
        <f t="shared" si="16"/>
        <v>A.H</v>
      </c>
      <c r="F170" s="16">
        <f t="shared" si="16"/>
        <v>42004</v>
      </c>
      <c r="G170" s="36" t="str">
        <f t="shared" si="16"/>
        <v>A.H</v>
      </c>
      <c r="H170" s="16">
        <f t="shared" si="16"/>
        <v>42369</v>
      </c>
      <c r="I170" s="36" t="str">
        <f t="shared" si="16"/>
        <v>A.H</v>
      </c>
    </row>
    <row r="171" spans="1:9" ht="15.75" x14ac:dyDescent="0.25">
      <c r="A171" s="5"/>
      <c r="B171" s="13" t="str">
        <f>$B$6</f>
        <v>Código:</v>
      </c>
      <c r="C171" s="35">
        <f>$C$6</f>
        <v>0</v>
      </c>
      <c r="D171" s="36" t="s">
        <v>347</v>
      </c>
      <c r="E171" s="73"/>
      <c r="F171" s="36" t="s">
        <v>347</v>
      </c>
      <c r="G171" s="73"/>
      <c r="H171" s="36" t="s">
        <v>347</v>
      </c>
      <c r="I171" s="73"/>
    </row>
    <row r="172" spans="1:9" ht="16.5" thickBot="1" x14ac:dyDescent="0.3">
      <c r="A172" s="5"/>
      <c r="B172" s="73"/>
      <c r="C172" s="73"/>
      <c r="D172" s="36" t="s">
        <v>348</v>
      </c>
      <c r="E172" s="73"/>
      <c r="F172" s="36" t="s">
        <v>348</v>
      </c>
      <c r="G172" s="73"/>
      <c r="H172" s="36" t="s">
        <v>348</v>
      </c>
      <c r="I172" s="73"/>
    </row>
    <row r="173" spans="1:9" x14ac:dyDescent="0.2">
      <c r="A173" s="5"/>
      <c r="B173" s="18"/>
      <c r="C173" s="19"/>
      <c r="D173" s="113"/>
      <c r="E173" s="90"/>
      <c r="F173" s="112"/>
      <c r="G173" s="90"/>
      <c r="H173" s="112"/>
      <c r="I173" s="41"/>
    </row>
    <row r="174" spans="1:9" x14ac:dyDescent="0.2">
      <c r="A174" s="5"/>
      <c r="B174" s="25">
        <v>18</v>
      </c>
      <c r="C174" s="295" t="str">
        <f>C45</f>
        <v>Fornecedores</v>
      </c>
      <c r="D174" s="360">
        <f t="shared" ref="D174:F183" si="17">(D45/D$125)</f>
        <v>0</v>
      </c>
      <c r="E174" s="318"/>
      <c r="F174" s="361">
        <f t="shared" si="17"/>
        <v>0</v>
      </c>
      <c r="G174" s="318">
        <f t="shared" ref="G174:G183" si="18">IF(D174=0,0,IF(D174&lt;0,(F174/D174-1)*-1,(F174/D174-1)*1))</f>
        <v>0</v>
      </c>
      <c r="H174" s="361">
        <f t="shared" ref="H174:H183" si="19">(H45/H$125)</f>
        <v>0</v>
      </c>
      <c r="I174" s="326">
        <f t="shared" ref="I174:I183" si="20">IF(F174=0,0,IF(F174&lt;0,((((H174/F174))-1)*-1),((((H174/F174))-1)*1)))</f>
        <v>0</v>
      </c>
    </row>
    <row r="175" spans="1:9" x14ac:dyDescent="0.2">
      <c r="A175" s="5"/>
      <c r="B175" s="25">
        <v>19</v>
      </c>
      <c r="C175" s="295" t="str">
        <f>C46</f>
        <v>Contas a Pagar / Adto de Clientes</v>
      </c>
      <c r="D175" s="360">
        <f t="shared" si="17"/>
        <v>0</v>
      </c>
      <c r="E175" s="318"/>
      <c r="F175" s="361">
        <f t="shared" si="17"/>
        <v>0</v>
      </c>
      <c r="G175" s="318">
        <f t="shared" si="18"/>
        <v>0</v>
      </c>
      <c r="H175" s="361">
        <f t="shared" si="19"/>
        <v>0</v>
      </c>
      <c r="I175" s="326">
        <f t="shared" si="20"/>
        <v>0</v>
      </c>
    </row>
    <row r="176" spans="1:9" x14ac:dyDescent="0.2">
      <c r="A176" s="5"/>
      <c r="B176" s="25">
        <v>20</v>
      </c>
      <c r="C176" s="295" t="str">
        <f>C47</f>
        <v>Relacionamento com Coligadas e Controladas</v>
      </c>
      <c r="D176" s="360">
        <f t="shared" si="17"/>
        <v>0</v>
      </c>
      <c r="E176" s="318"/>
      <c r="F176" s="361">
        <f t="shared" si="17"/>
        <v>0</v>
      </c>
      <c r="G176" s="318">
        <f t="shared" si="18"/>
        <v>0</v>
      </c>
      <c r="H176" s="361">
        <f t="shared" si="19"/>
        <v>0</v>
      </c>
      <c r="I176" s="326">
        <f t="shared" si="20"/>
        <v>0</v>
      </c>
    </row>
    <row r="177" spans="1:9" x14ac:dyDescent="0.2">
      <c r="A177" s="5"/>
      <c r="B177" s="25">
        <v>21</v>
      </c>
      <c r="C177" s="295" t="str">
        <f>C48</f>
        <v>Tributos e Obrigações Sociais</v>
      </c>
      <c r="D177" s="360">
        <f t="shared" si="17"/>
        <v>0</v>
      </c>
      <c r="E177" s="318"/>
      <c r="F177" s="361">
        <f t="shared" si="17"/>
        <v>0</v>
      </c>
      <c r="G177" s="318">
        <f t="shared" si="18"/>
        <v>0</v>
      </c>
      <c r="H177" s="361">
        <f t="shared" si="19"/>
        <v>0</v>
      </c>
      <c r="I177" s="326">
        <f t="shared" si="20"/>
        <v>0</v>
      </c>
    </row>
    <row r="178" spans="1:9" x14ac:dyDescent="0.2">
      <c r="A178" s="5"/>
      <c r="B178" s="25"/>
      <c r="C178" s="295"/>
      <c r="D178" s="360">
        <f t="shared" si="17"/>
        <v>0</v>
      </c>
      <c r="E178" s="318"/>
      <c r="F178" s="361">
        <f t="shared" si="17"/>
        <v>0</v>
      </c>
      <c r="G178" s="318">
        <f t="shared" si="18"/>
        <v>0</v>
      </c>
      <c r="H178" s="361">
        <f t="shared" si="19"/>
        <v>0</v>
      </c>
      <c r="I178" s="326">
        <f t="shared" si="20"/>
        <v>0</v>
      </c>
    </row>
    <row r="179" spans="1:9" x14ac:dyDescent="0.2">
      <c r="A179" s="5"/>
      <c r="B179" s="25">
        <f>B177+1</f>
        <v>22</v>
      </c>
      <c r="C179" s="295" t="str">
        <f>C50</f>
        <v>Empréstimos e Financiamentos / Curto Prazo</v>
      </c>
      <c r="D179" s="360">
        <f t="shared" si="17"/>
        <v>0</v>
      </c>
      <c r="E179" s="318"/>
      <c r="F179" s="361">
        <f t="shared" si="17"/>
        <v>0</v>
      </c>
      <c r="G179" s="318">
        <f t="shared" si="18"/>
        <v>0</v>
      </c>
      <c r="H179" s="361">
        <f t="shared" si="19"/>
        <v>0</v>
      </c>
      <c r="I179" s="326">
        <f t="shared" si="20"/>
        <v>0</v>
      </c>
    </row>
    <row r="180" spans="1:9" x14ac:dyDescent="0.2">
      <c r="A180" s="5"/>
      <c r="B180" s="25">
        <f>B179+1</f>
        <v>23</v>
      </c>
      <c r="C180" s="295" t="str">
        <f>C51</f>
        <v>Cred Rural de Custeio/Debêntures/Derivativos</v>
      </c>
      <c r="D180" s="360">
        <f t="shared" si="17"/>
        <v>0</v>
      </c>
      <c r="E180" s="318"/>
      <c r="F180" s="361">
        <f t="shared" si="17"/>
        <v>0</v>
      </c>
      <c r="G180" s="318">
        <f t="shared" si="18"/>
        <v>0</v>
      </c>
      <c r="H180" s="361">
        <f t="shared" si="19"/>
        <v>0</v>
      </c>
      <c r="I180" s="326">
        <f t="shared" si="20"/>
        <v>0</v>
      </c>
    </row>
    <row r="181" spans="1:9" x14ac:dyDescent="0.2">
      <c r="A181" s="5"/>
      <c r="B181" s="25">
        <f>B180+1</f>
        <v>24</v>
      </c>
      <c r="C181" s="295" t="str">
        <f>C52</f>
        <v>Operações de Desconto de Duplicatas</v>
      </c>
      <c r="D181" s="360">
        <f t="shared" si="17"/>
        <v>0</v>
      </c>
      <c r="E181" s="318"/>
      <c r="F181" s="361">
        <f t="shared" si="17"/>
        <v>0</v>
      </c>
      <c r="G181" s="318">
        <f t="shared" si="18"/>
        <v>0</v>
      </c>
      <c r="H181" s="361">
        <f t="shared" si="19"/>
        <v>0</v>
      </c>
      <c r="I181" s="326">
        <f t="shared" si="20"/>
        <v>0</v>
      </c>
    </row>
    <row r="182" spans="1:9" x14ac:dyDescent="0.2">
      <c r="A182" s="5"/>
      <c r="B182" s="25">
        <f>B181+1</f>
        <v>25</v>
      </c>
      <c r="C182" s="295" t="str">
        <f>C53</f>
        <v>Operações de Adiantamento de Câmbio</v>
      </c>
      <c r="D182" s="360">
        <f t="shared" si="17"/>
        <v>0</v>
      </c>
      <c r="E182" s="318"/>
      <c r="F182" s="361">
        <f t="shared" si="17"/>
        <v>0</v>
      </c>
      <c r="G182" s="318">
        <f t="shared" si="18"/>
        <v>0</v>
      </c>
      <c r="H182" s="361">
        <f t="shared" si="19"/>
        <v>0</v>
      </c>
      <c r="I182" s="326">
        <f t="shared" si="20"/>
        <v>0</v>
      </c>
    </row>
    <row r="183" spans="1:9" x14ac:dyDescent="0.2">
      <c r="A183" s="5"/>
      <c r="B183" s="25">
        <f>B182+1</f>
        <v>26</v>
      </c>
      <c r="C183" s="292" t="str">
        <f>C54</f>
        <v>Total de Instituições Financeiras</v>
      </c>
      <c r="D183" s="362">
        <f t="shared" si="17"/>
        <v>0</v>
      </c>
      <c r="E183" s="317"/>
      <c r="F183" s="363">
        <f t="shared" si="17"/>
        <v>0</v>
      </c>
      <c r="G183" s="317">
        <f t="shared" si="18"/>
        <v>0</v>
      </c>
      <c r="H183" s="363">
        <f t="shared" si="19"/>
        <v>0</v>
      </c>
      <c r="I183" s="329">
        <f t="shared" si="20"/>
        <v>0</v>
      </c>
    </row>
    <row r="184" spans="1:9" x14ac:dyDescent="0.2">
      <c r="A184" s="5"/>
      <c r="B184" s="25"/>
      <c r="C184" s="300"/>
      <c r="D184" s="364"/>
      <c r="E184" s="310"/>
      <c r="F184" s="365"/>
      <c r="G184" s="310"/>
      <c r="H184" s="365"/>
      <c r="I184" s="331"/>
    </row>
    <row r="185" spans="1:9" x14ac:dyDescent="0.2">
      <c r="A185" s="5"/>
      <c r="B185" s="80">
        <v>27</v>
      </c>
      <c r="C185" s="304" t="str">
        <f>C56</f>
        <v>TOTAL DO PASSIVO CIRCULANTE</v>
      </c>
      <c r="D185" s="366">
        <f>(D56/D$125)</f>
        <v>0</v>
      </c>
      <c r="E185" s="307"/>
      <c r="F185" s="367">
        <f>(F56/F$125)</f>
        <v>0</v>
      </c>
      <c r="G185" s="307">
        <f>IF(D185=0,0,IF(D185&lt;0,(F185/D185-1)*-1,(F185/D185-1)*1))</f>
        <v>0</v>
      </c>
      <c r="H185" s="367">
        <f>(H56/H$125)</f>
        <v>0</v>
      </c>
      <c r="I185" s="333">
        <f>IF(F185=0,0,IF(F185&lt;0,((((H185/F185))-1)*-1),((((H185/F185))-1)*1)))</f>
        <v>0</v>
      </c>
    </row>
    <row r="186" spans="1:9" x14ac:dyDescent="0.2">
      <c r="A186" s="5"/>
      <c r="B186" s="25"/>
      <c r="C186" s="300"/>
      <c r="D186" s="364"/>
      <c r="E186" s="310"/>
      <c r="F186" s="365"/>
      <c r="G186" s="310"/>
      <c r="H186" s="365"/>
      <c r="I186" s="331"/>
    </row>
    <row r="187" spans="1:9" x14ac:dyDescent="0.2">
      <c r="A187" s="5"/>
      <c r="B187" s="25">
        <v>28</v>
      </c>
      <c r="C187" s="295" t="str">
        <f>C58</f>
        <v>Empréstimos e Financiamentos / Longo Prazo</v>
      </c>
      <c r="D187" s="360">
        <f>(D58/D$125)</f>
        <v>0</v>
      </c>
      <c r="E187" s="318"/>
      <c r="F187" s="361">
        <f>(F58/F$125)</f>
        <v>0</v>
      </c>
      <c r="G187" s="318">
        <f>IF(D187=0,0,IF(D187&lt;0,(F187/D187-1)*-1,(F187/D187-1)*1))</f>
        <v>0</v>
      </c>
      <c r="H187" s="361">
        <f>(H58/H$125)</f>
        <v>0</v>
      </c>
      <c r="I187" s="326">
        <f>IF(F187=0,0,IF(F187&lt;0,((((H187/F187))-1)*-1),((((H187/F187))-1)*1)))</f>
        <v>0</v>
      </c>
    </row>
    <row r="188" spans="1:9" x14ac:dyDescent="0.2">
      <c r="A188" s="5"/>
      <c r="B188" s="25">
        <v>29</v>
      </c>
      <c r="C188" s="295" t="str">
        <f>C59</f>
        <v>Cred Rural de Custeio/ Longo Prazo</v>
      </c>
      <c r="D188" s="360">
        <f>(D59/D$125)</f>
        <v>0</v>
      </c>
      <c r="E188" s="318"/>
      <c r="F188" s="361">
        <f>(F59/F$125)</f>
        <v>0</v>
      </c>
      <c r="G188" s="318">
        <f>IF(D188=0,0,IF(D188&lt;0,(F188/D188-1)*-1,(F188/D188-1)*1))</f>
        <v>0</v>
      </c>
      <c r="H188" s="361">
        <f>(H59/H$125)</f>
        <v>0</v>
      </c>
      <c r="I188" s="326">
        <f>IF(F188=0,0,IF(F188&lt;0,((((H188/F188))-1)*-1),((((H188/F188))-1)*1)))</f>
        <v>0</v>
      </c>
    </row>
    <row r="189" spans="1:9" x14ac:dyDescent="0.2">
      <c r="A189" s="5"/>
      <c r="B189" s="25">
        <v>30</v>
      </c>
      <c r="C189" s="295" t="str">
        <f>C60</f>
        <v>Coligadas e Controladas / Longo Prazo</v>
      </c>
      <c r="D189" s="360">
        <f>(D60/D$125)</f>
        <v>0</v>
      </c>
      <c r="E189" s="318"/>
      <c r="F189" s="361">
        <f>(F60/F$125)</f>
        <v>0</v>
      </c>
      <c r="G189" s="318">
        <f>IF(D189=0,0,IF(D189&lt;0,(F189/D189-1)*-1,(F189/D189-1)*1))</f>
        <v>0</v>
      </c>
      <c r="H189" s="361">
        <f>(H60/H$125)</f>
        <v>0</v>
      </c>
      <c r="I189" s="326">
        <f>IF(F189=0,0,IF(F189&lt;0,((((H189/F189))-1)*-1),((((H189/F189))-1)*1)))</f>
        <v>0</v>
      </c>
    </row>
    <row r="190" spans="1:9" x14ac:dyDescent="0.2">
      <c r="A190" s="5"/>
      <c r="B190" s="25">
        <v>31</v>
      </c>
      <c r="C190" s="295" t="str">
        <f>C61</f>
        <v>Outros Débitos de Longo Prazo</v>
      </c>
      <c r="D190" s="360">
        <f>(D61/D$125)</f>
        <v>0</v>
      </c>
      <c r="E190" s="318"/>
      <c r="F190" s="361">
        <f>(F61/F$125)</f>
        <v>0</v>
      </c>
      <c r="G190" s="318">
        <f>IF(D190=0,0,IF(D190&lt;0,(F190/D190-1)*-1,(F190/D190-1)*1))</f>
        <v>0</v>
      </c>
      <c r="H190" s="361">
        <f>(H61/H$125)</f>
        <v>0</v>
      </c>
      <c r="I190" s="326">
        <f>IF(F190=0,0,IF(F190&lt;0,((((H190/F190))-1)*-1),((((H190/F190))-1)*1)))</f>
        <v>0</v>
      </c>
    </row>
    <row r="191" spans="1:9" x14ac:dyDescent="0.2">
      <c r="A191" s="5"/>
      <c r="B191" s="25"/>
      <c r="C191" s="300"/>
      <c r="D191" s="364"/>
      <c r="E191" s="310"/>
      <c r="F191" s="365"/>
      <c r="G191" s="310"/>
      <c r="H191" s="365"/>
      <c r="I191" s="331"/>
    </row>
    <row r="192" spans="1:9" x14ac:dyDescent="0.2">
      <c r="A192" s="5"/>
      <c r="B192" s="80">
        <v>32</v>
      </c>
      <c r="C192" s="304" t="str">
        <f>C63</f>
        <v>TOTAL DO EXIGÍVEL A LONGO PRAZO</v>
      </c>
      <c r="D192" s="366">
        <f>(D63/D$125)</f>
        <v>0</v>
      </c>
      <c r="E192" s="307"/>
      <c r="F192" s="367">
        <f>(F63/F$125)</f>
        <v>0</v>
      </c>
      <c r="G192" s="307">
        <f>IF(D192=0,0,IF(D192&lt;0,(F192/D192-1)*-1,(F192/D192-1)*1))</f>
        <v>0</v>
      </c>
      <c r="H192" s="367">
        <f>(H63/H$125)</f>
        <v>0</v>
      </c>
      <c r="I192" s="333">
        <f>IF(F192=0,0,IF(F192&lt;0,((((H192/F192))-1)*-1),((((H192/F192))-1)*1)))</f>
        <v>0</v>
      </c>
    </row>
    <row r="193" spans="1:9" x14ac:dyDescent="0.2">
      <c r="A193" s="5"/>
      <c r="B193" s="25"/>
      <c r="C193" s="300"/>
      <c r="D193" s="364"/>
      <c r="E193" s="310"/>
      <c r="F193" s="365"/>
      <c r="G193" s="310"/>
      <c r="H193" s="365"/>
      <c r="I193" s="331"/>
    </row>
    <row r="194" spans="1:9" x14ac:dyDescent="0.2">
      <c r="A194" s="5"/>
      <c r="B194" s="25">
        <v>33</v>
      </c>
      <c r="C194" s="292" t="str">
        <f>C65</f>
        <v>TOTAL DO PASSIVO REAL</v>
      </c>
      <c r="D194" s="362">
        <f>(D65/D$125)</f>
        <v>0</v>
      </c>
      <c r="E194" s="317"/>
      <c r="F194" s="363">
        <f>(F65/F$125)</f>
        <v>0</v>
      </c>
      <c r="G194" s="317">
        <f>IF(D194=0,0,IF(D194&lt;0,(F194/D194-1)*-1,(F194/D194-1)*1))</f>
        <v>0</v>
      </c>
      <c r="H194" s="363">
        <f>(H65/H$125)</f>
        <v>0</v>
      </c>
      <c r="I194" s="329">
        <f>IF(F194=0,0,IF(F194&lt;0,((((H194/F194))-1)*-1),((((H194/F194))-1)*1)))</f>
        <v>0</v>
      </c>
    </row>
    <row r="195" spans="1:9" x14ac:dyDescent="0.2">
      <c r="A195" s="5"/>
      <c r="B195" s="25"/>
      <c r="C195" s="300"/>
      <c r="D195" s="364"/>
      <c r="E195" s="310"/>
      <c r="F195" s="365"/>
      <c r="G195" s="310"/>
      <c r="H195" s="365"/>
      <c r="I195" s="331"/>
    </row>
    <row r="196" spans="1:9" x14ac:dyDescent="0.2">
      <c r="A196" s="5"/>
      <c r="B196" s="25">
        <v>34</v>
      </c>
      <c r="C196" s="295" t="str">
        <f>C67</f>
        <v>Capital Social Integralizado</v>
      </c>
      <c r="D196" s="360">
        <f>(D67/D$125)</f>
        <v>0</v>
      </c>
      <c r="E196" s="318"/>
      <c r="F196" s="361">
        <f>(F67/F$125)</f>
        <v>0</v>
      </c>
      <c r="G196" s="318">
        <f>IF(D196=0,0,IF(D196&lt;0,(F196/D196-1)*-1,(F196/D196-1)*1))</f>
        <v>0</v>
      </c>
      <c r="H196" s="361">
        <f>(H67/H$125)</f>
        <v>0</v>
      </c>
      <c r="I196" s="326">
        <f>IF(F196=0,0,IF(F196&lt;0,((((H196/F196))-1)*-1),((((H196/F196))-1)*1)))</f>
        <v>0</v>
      </c>
    </row>
    <row r="197" spans="1:9" x14ac:dyDescent="0.2">
      <c r="A197" s="5"/>
      <c r="B197" s="25">
        <v>35</v>
      </c>
      <c r="C197" s="295" t="str">
        <f>C68</f>
        <v>Reservas  de Capital e Lucro</v>
      </c>
      <c r="D197" s="360">
        <f>(D68/D$125)</f>
        <v>0</v>
      </c>
      <c r="E197" s="318"/>
      <c r="F197" s="361">
        <f>(F68/F$125)</f>
        <v>0</v>
      </c>
      <c r="G197" s="318">
        <f>IF(D197=0,0,IF(D197&lt;0,(F197/D197-1)*-1,(F197/D197-1)*1))</f>
        <v>0</v>
      </c>
      <c r="H197" s="361">
        <f>(H68/H$125)</f>
        <v>0</v>
      </c>
      <c r="I197" s="326">
        <f>IF(F197=0,0,IF(F197&lt;0,((((H197/F197))-1)*-1),((((H197/F197))-1)*1)))</f>
        <v>0</v>
      </c>
    </row>
    <row r="198" spans="1:9" x14ac:dyDescent="0.2">
      <c r="A198" s="5"/>
      <c r="B198" s="25">
        <v>36</v>
      </c>
      <c r="C198" s="295" t="str">
        <f>C69</f>
        <v>Reserva de Reavaliação</v>
      </c>
      <c r="D198" s="360">
        <f>(D69/D$125)</f>
        <v>0</v>
      </c>
      <c r="E198" s="318"/>
      <c r="F198" s="361">
        <f>(F69/F$125)</f>
        <v>0</v>
      </c>
      <c r="G198" s="318">
        <f>IF(D198=0,0,IF(D198&lt;0,(F198/D198-1)*-1,(F198/D198-1)*1))</f>
        <v>0</v>
      </c>
      <c r="H198" s="361">
        <f>(H69/H$125)</f>
        <v>0</v>
      </c>
      <c r="I198" s="326">
        <f>IF(F198=0,0,IF(F198&lt;0,((((H198/F198))-1)*-1),((((H198/F198))-1)*1)))</f>
        <v>0</v>
      </c>
    </row>
    <row r="199" spans="1:9" x14ac:dyDescent="0.2">
      <c r="A199" s="5"/>
      <c r="B199" s="25">
        <v>37</v>
      </c>
      <c r="C199" s="295" t="str">
        <f>C70</f>
        <v>Lucros Acumulados</v>
      </c>
      <c r="D199" s="360">
        <f>(D70/D$125)</f>
        <v>0</v>
      </c>
      <c r="E199" s="318"/>
      <c r="F199" s="361">
        <f>(F70/F$125)</f>
        <v>0</v>
      </c>
      <c r="G199" s="318">
        <f>IF(D199=0,0,IF(D199&lt;0,(F199/D199-1)*-1,(F199/D199-1)*1))</f>
        <v>0</v>
      </c>
      <c r="H199" s="361">
        <f>(H70/H$125)</f>
        <v>0</v>
      </c>
      <c r="I199" s="326">
        <f>IF(F199=0,0,IF(F199&lt;0,((((H199/F199))-1)*-1),((((H199/F199))-1)*1)))</f>
        <v>0</v>
      </c>
    </row>
    <row r="200" spans="1:9" x14ac:dyDescent="0.2">
      <c r="A200" s="5"/>
      <c r="B200" s="25"/>
      <c r="C200" s="300"/>
      <c r="D200" s="364"/>
      <c r="E200" s="310"/>
      <c r="F200" s="365"/>
      <c r="G200" s="310"/>
      <c r="H200" s="365"/>
      <c r="I200" s="331"/>
    </row>
    <row r="201" spans="1:9" x14ac:dyDescent="0.2">
      <c r="A201" s="5"/>
      <c r="B201" s="80">
        <v>38</v>
      </c>
      <c r="C201" s="304" t="str">
        <f>C72</f>
        <v>Total do Patrimônio Líquido</v>
      </c>
      <c r="D201" s="366">
        <f>(D72/D$125)</f>
        <v>0</v>
      </c>
      <c r="E201" s="307"/>
      <c r="F201" s="367">
        <f>(F72/F$125)</f>
        <v>0</v>
      </c>
      <c r="G201" s="307">
        <f>IF(D201=0,0,IF(D201&lt;0,(F201/D201-1)*-1,(F201/D201-1)*1))</f>
        <v>0</v>
      </c>
      <c r="H201" s="367">
        <f>(H72/H$125)</f>
        <v>0</v>
      </c>
      <c r="I201" s="333">
        <f>IF(F201=0,0,IF(F201&lt;0,((((H201/F201))-1)*-1),((((H201/F201))-1)*1)))</f>
        <v>0</v>
      </c>
    </row>
    <row r="202" spans="1:9" x14ac:dyDescent="0.2">
      <c r="A202" s="5"/>
      <c r="B202" s="25"/>
      <c r="C202" s="300"/>
      <c r="D202" s="364"/>
      <c r="E202" s="310"/>
      <c r="F202" s="365"/>
      <c r="G202" s="310"/>
      <c r="H202" s="365"/>
      <c r="I202" s="331"/>
    </row>
    <row r="203" spans="1:9" ht="13.5" thickBot="1" x14ac:dyDescent="0.25">
      <c r="A203" s="5"/>
      <c r="B203" s="88">
        <v>39</v>
      </c>
      <c r="C203" s="334" t="str">
        <f>C74</f>
        <v>TOTAL DO PASSIVO</v>
      </c>
      <c r="D203" s="368">
        <f>(D74/D$125)</f>
        <v>0</v>
      </c>
      <c r="E203" s="369"/>
      <c r="F203" s="370">
        <f>(F74/F$125)</f>
        <v>0</v>
      </c>
      <c r="G203" s="369">
        <f>IF(D203=0,0,IF(D203&lt;0,(F203/D203-1)*-1,(F203/D203-1)*1))</f>
        <v>0</v>
      </c>
      <c r="H203" s="370">
        <f>(H74/H$125)</f>
        <v>0</v>
      </c>
      <c r="I203" s="337">
        <f>IF(F203=0,0,IF(F203&lt;0,((((H203/F203))-1)*-1),((((H203/F203))-1)*1)))</f>
        <v>0</v>
      </c>
    </row>
    <row r="204" spans="1:9" x14ac:dyDescent="0.2">
      <c r="B204" s="27"/>
      <c r="C204" s="27"/>
      <c r="D204" s="309"/>
      <c r="E204" s="309"/>
      <c r="F204" s="309"/>
      <c r="G204" s="309"/>
      <c r="H204" s="309"/>
      <c r="I204" s="300"/>
    </row>
    <row r="205" spans="1:9" ht="15.75" x14ac:dyDescent="0.25">
      <c r="B205" s="983" t="s">
        <v>318</v>
      </c>
      <c r="C205" s="983"/>
      <c r="D205" s="983"/>
      <c r="E205" s="983"/>
      <c r="F205" s="983"/>
      <c r="G205" s="983"/>
      <c r="H205" s="983"/>
      <c r="I205" s="983"/>
    </row>
    <row r="206" spans="1:9" ht="15.75" x14ac:dyDescent="0.25">
      <c r="B206" s="73"/>
      <c r="C206" s="73"/>
      <c r="D206" s="73"/>
      <c r="E206" s="73"/>
      <c r="F206" s="73"/>
      <c r="G206" s="73"/>
      <c r="H206" s="73"/>
      <c r="I206" s="73"/>
    </row>
    <row r="207" spans="1:9" x14ac:dyDescent="0.2">
      <c r="A207" s="54"/>
      <c r="C207" s="10"/>
      <c r="F207" s="39"/>
    </row>
    <row r="208" spans="1:9" x14ac:dyDescent="0.2">
      <c r="A208" s="54"/>
      <c r="B208" s="13" t="str">
        <f>$B$5</f>
        <v>Cliente:</v>
      </c>
      <c r="C208" s="35" t="str">
        <f>$C$5</f>
        <v>Couroquimica</v>
      </c>
      <c r="D208" s="16">
        <f t="shared" ref="D208:I208" si="21">D81</f>
        <v>41639</v>
      </c>
      <c r="E208" s="36" t="str">
        <f t="shared" si="21"/>
        <v>A.H.</v>
      </c>
      <c r="F208" s="16">
        <f t="shared" si="21"/>
        <v>42004</v>
      </c>
      <c r="G208" s="36" t="str">
        <f t="shared" si="21"/>
        <v>A.H.</v>
      </c>
      <c r="H208" s="16">
        <f t="shared" si="21"/>
        <v>42369</v>
      </c>
      <c r="I208" s="36" t="str">
        <f t="shared" si="21"/>
        <v>A.H.</v>
      </c>
    </row>
    <row r="209" spans="1:9" x14ac:dyDescent="0.2">
      <c r="A209" s="54"/>
      <c r="B209" s="13" t="str">
        <f>$B$6</f>
        <v>Código:</v>
      </c>
      <c r="C209" s="35">
        <f>$C$6</f>
        <v>0</v>
      </c>
      <c r="D209" s="11" t="s">
        <v>347</v>
      </c>
      <c r="E209" s="24"/>
      <c r="F209" s="55" t="str">
        <f>D209</f>
        <v>US$</v>
      </c>
      <c r="G209" s="8"/>
      <c r="H209" s="55" t="str">
        <f>F209</f>
        <v>US$</v>
      </c>
      <c r="I209" s="27"/>
    </row>
    <row r="210" spans="1:9" ht="13.5" thickBot="1" x14ac:dyDescent="0.25">
      <c r="A210" s="5"/>
      <c r="D210" s="11" t="s">
        <v>348</v>
      </c>
      <c r="E210" s="57"/>
      <c r="F210" s="11" t="s">
        <v>348</v>
      </c>
      <c r="G210" s="56"/>
      <c r="H210" s="11" t="s">
        <v>348</v>
      </c>
      <c r="I210" s="40"/>
    </row>
    <row r="211" spans="1:9" x14ac:dyDescent="0.2">
      <c r="A211" s="5"/>
      <c r="B211" s="18"/>
      <c r="C211" s="19"/>
      <c r="D211" s="126"/>
      <c r="E211" s="37"/>
      <c r="F211" s="126"/>
      <c r="G211" s="37"/>
      <c r="H211" s="126"/>
      <c r="I211" s="41"/>
    </row>
    <row r="212" spans="1:9" x14ac:dyDescent="0.2">
      <c r="A212" s="5"/>
      <c r="B212" s="25">
        <v>40</v>
      </c>
      <c r="C212" s="292" t="str">
        <f>C85</f>
        <v>Faturamento Bruto</v>
      </c>
      <c r="D212" s="315">
        <f>(D85/D$126)</f>
        <v>0</v>
      </c>
      <c r="E212" s="349"/>
      <c r="F212" s="315">
        <f>(F85/F$126)</f>
        <v>0</v>
      </c>
      <c r="G212" s="338">
        <f>IF(D212=0,0,IF(D212&lt;0,(F212/D212-1)*-1,(F212/D212-1)*1))</f>
        <v>0</v>
      </c>
      <c r="H212" s="315">
        <f>(H85/H$126)</f>
        <v>0</v>
      </c>
      <c r="I212" s="329">
        <f>IF(F212=0,0,IF(F212&lt;0,((((H212/$H$7)/(F212/$F$7))-1)*-1),((((H212/$H$7)/(F212/$F$7))-1)*1)))</f>
        <v>0</v>
      </c>
    </row>
    <row r="213" spans="1:9" x14ac:dyDescent="0.2">
      <c r="A213" s="5"/>
      <c r="B213" s="25" t="s">
        <v>350</v>
      </c>
      <c r="C213" s="295" t="str">
        <f>C86</f>
        <v>(-) Impostos sobre  o Faturamento</v>
      </c>
      <c r="D213" s="297">
        <f>(D86/D$126)</f>
        <v>0</v>
      </c>
      <c r="E213" s="350"/>
      <c r="F213" s="297">
        <f>(F86/F$126)</f>
        <v>0</v>
      </c>
      <c r="G213" s="340">
        <f>IF(D213=0,0,IF(D213&lt;0,(F213/D213-1)*-1,(F213/D213-1)*1))</f>
        <v>0</v>
      </c>
      <c r="H213" s="297">
        <f>(H86/H$126)</f>
        <v>0</v>
      </c>
      <c r="I213" s="326">
        <f>IF(F213=0,0,IF(F213&lt;0,((((H213/$H$7)/(F213/$F$7))-1)*-1),((((H213/$H$7)/(F213/$F$7))-1)*1)))</f>
        <v>0</v>
      </c>
    </row>
    <row r="214" spans="1:9" x14ac:dyDescent="0.2">
      <c r="A214" s="5"/>
      <c r="B214" s="25"/>
      <c r="C214" s="300"/>
      <c r="D214" s="301"/>
      <c r="E214" s="348"/>
      <c r="F214" s="301"/>
      <c r="G214" s="342"/>
      <c r="H214" s="301"/>
      <c r="I214" s="331"/>
    </row>
    <row r="215" spans="1:9" x14ac:dyDescent="0.2">
      <c r="A215" s="5"/>
      <c r="B215" s="80">
        <v>42</v>
      </c>
      <c r="C215" s="344" t="str">
        <f>C88</f>
        <v xml:space="preserve"> = Faturamento Líquido</v>
      </c>
      <c r="D215" s="305">
        <f>(D88/D$126)</f>
        <v>0</v>
      </c>
      <c r="E215" s="345"/>
      <c r="F215" s="305">
        <f>(F88/F$126)</f>
        <v>0</v>
      </c>
      <c r="G215" s="346">
        <f>IF(D215=0,0,IF(D215&lt;0,(F215/D215-1)*-1,(F215/D215-1)*1))</f>
        <v>0</v>
      </c>
      <c r="H215" s="305">
        <f>(H88/H$126)</f>
        <v>0</v>
      </c>
      <c r="I215" s="333">
        <f>IF(F215=0,0,IF(F215&lt;0,((((H215/$H$7)/(F215/$F$7))-1)*-1),((((H215/$H$7)/(F215/$F$7))-1)*1)))</f>
        <v>0</v>
      </c>
    </row>
    <row r="216" spans="1:9" x14ac:dyDescent="0.2">
      <c r="A216" s="5"/>
      <c r="B216" s="25"/>
      <c r="C216" s="300"/>
      <c r="D216" s="301"/>
      <c r="E216" s="348"/>
      <c r="F216" s="301"/>
      <c r="G216" s="342"/>
      <c r="H216" s="301"/>
      <c r="I216" s="331"/>
    </row>
    <row r="217" spans="1:9" x14ac:dyDescent="0.2">
      <c r="A217" s="5"/>
      <c r="B217" s="25">
        <v>43</v>
      </c>
      <c r="C217" s="295" t="str">
        <f>C90</f>
        <v>(-) Custo de Mercadorias Vendida</v>
      </c>
      <c r="D217" s="297">
        <f>(D90/D$126)</f>
        <v>0</v>
      </c>
      <c r="E217" s="349"/>
      <c r="F217" s="297">
        <f>(F90/F$126)</f>
        <v>0</v>
      </c>
      <c r="G217" s="338">
        <f>IF(D217=0,0,IF(D217&lt;0,(F217/D217-1)*-1,(F217/D217-1)*1))</f>
        <v>0</v>
      </c>
      <c r="H217" s="297">
        <f>(H90/H$126)</f>
        <v>0</v>
      </c>
      <c r="I217" s="329">
        <f>IF(F217=0,0,IF(F217&lt;0,((((H217/$H$7)/(F217/$F$7))-1)*-1),((((H217/$H$7)/(F217/$F$7))-1)*1)))</f>
        <v>0</v>
      </c>
    </row>
    <row r="218" spans="1:9" x14ac:dyDescent="0.2">
      <c r="A218" s="5"/>
      <c r="B218" s="25"/>
      <c r="C218" s="300"/>
      <c r="D218" s="301"/>
      <c r="E218" s="348"/>
      <c r="F218" s="301"/>
      <c r="G218" s="342"/>
      <c r="H218" s="301"/>
      <c r="I218" s="331"/>
    </row>
    <row r="219" spans="1:9" x14ac:dyDescent="0.2">
      <c r="A219" s="5"/>
      <c r="B219" s="80">
        <v>44</v>
      </c>
      <c r="C219" s="304" t="str">
        <f>C92</f>
        <v xml:space="preserve"> = Lucro Bruto</v>
      </c>
      <c r="D219" s="305">
        <f>(D92/D$126)</f>
        <v>0</v>
      </c>
      <c r="E219" s="345"/>
      <c r="F219" s="305">
        <f>(F92/F$126)</f>
        <v>0</v>
      </c>
      <c r="G219" s="346">
        <f>IF(D219=0,0,IF(D219&lt;0,(F219/D219-1)*-1,(F219/D219-1)*1))</f>
        <v>0</v>
      </c>
      <c r="H219" s="305">
        <f>(H92/H$126)</f>
        <v>0</v>
      </c>
      <c r="I219" s="333">
        <f>IF(F219=0,0,IF(F219&lt;0,((((H219/$H$7)/(F219/$F$7))-1)*-1),((((H219/$H$7)/(F219/$F$7))-1)*1)))</f>
        <v>0</v>
      </c>
    </row>
    <row r="220" spans="1:9" x14ac:dyDescent="0.2">
      <c r="A220" s="5"/>
      <c r="B220" s="25"/>
      <c r="C220" s="300"/>
      <c r="D220" s="301"/>
      <c r="E220" s="348"/>
      <c r="F220" s="301"/>
      <c r="G220" s="342"/>
      <c r="H220" s="301"/>
      <c r="I220" s="331"/>
    </row>
    <row r="221" spans="1:9" x14ac:dyDescent="0.2">
      <c r="A221" s="5"/>
      <c r="B221" s="25">
        <v>45</v>
      </c>
      <c r="C221" s="295" t="str">
        <f>C94</f>
        <v>(-) Despesas Administrativas e Gerais</v>
      </c>
      <c r="D221" s="297">
        <f>(D94/D$126)</f>
        <v>0</v>
      </c>
      <c r="E221" s="350"/>
      <c r="F221" s="297">
        <f>(F94/F$126)</f>
        <v>0</v>
      </c>
      <c r="G221" s="340">
        <f>IF(D221=0,0,IF(D221&lt;0,(F221/D221-1)*-1,(F221/D221-1)*1))</f>
        <v>0</v>
      </c>
      <c r="H221" s="297">
        <f>(H94/H$126)</f>
        <v>0</v>
      </c>
      <c r="I221" s="326">
        <f>IF(F221=0,0,IF(F221&lt;0,((((H221/$H$7)/(F221/$F$7))-1)*-1),((((H221/$H$7)/(F221/$F$7))-1)*1)))</f>
        <v>0</v>
      </c>
    </row>
    <row r="222" spans="1:9" x14ac:dyDescent="0.2">
      <c r="A222" s="5"/>
      <c r="B222" s="25">
        <v>46</v>
      </c>
      <c r="C222" s="295" t="str">
        <f>C95</f>
        <v>(-) Despesas Comerciais</v>
      </c>
      <c r="D222" s="297">
        <f>(D95/D$126)</f>
        <v>0</v>
      </c>
      <c r="E222" s="350"/>
      <c r="F222" s="297">
        <f>(F95/F$126)</f>
        <v>0</v>
      </c>
      <c r="G222" s="340">
        <f>IF(D222=0,0,IF(D222&lt;0,(F222/D222-1)*-1,(F222/D222-1)*1))</f>
        <v>0</v>
      </c>
      <c r="H222" s="297">
        <f>(H95/H$126)</f>
        <v>0</v>
      </c>
      <c r="I222" s="326">
        <f>IF(F222=0,0,IF(F222&lt;0,((((H222/$H$7)/(F222/$F$7))-1)*-1),((((H222/$H$7)/(F222/$F$7))-1)*1)))</f>
        <v>0</v>
      </c>
    </row>
    <row r="223" spans="1:9" x14ac:dyDescent="0.2">
      <c r="A223" s="5"/>
      <c r="B223" s="25">
        <v>47</v>
      </c>
      <c r="C223" s="295" t="str">
        <f>C96</f>
        <v>(-) Despesas Tributárias</v>
      </c>
      <c r="D223" s="297">
        <f>(D96/D$126)</f>
        <v>0</v>
      </c>
      <c r="E223" s="350"/>
      <c r="F223" s="297">
        <f>(F96/F$126)</f>
        <v>0</v>
      </c>
      <c r="G223" s="340">
        <f>IF(D223=0,0,IF(D223&lt;0,(F223/D223-1)*-1,(F223/D223-1)*1))</f>
        <v>0</v>
      </c>
      <c r="H223" s="297">
        <f>(H96/H$126)</f>
        <v>0</v>
      </c>
      <c r="I223" s="326">
        <f>IF(F223=0,0,IF(F223&lt;0,((((H223/$H$7)/(F223/$F$7))-1)*-1),((((H223/$H$7)/(F223/$F$7))-1)*1)))</f>
        <v>0</v>
      </c>
    </row>
    <row r="224" spans="1:9" x14ac:dyDescent="0.2">
      <c r="A224" s="5"/>
      <c r="B224" s="25"/>
      <c r="C224" s="295" t="str">
        <f>C97</f>
        <v>(+/-) Receitas e despesas operacionais</v>
      </c>
      <c r="D224" s="297">
        <f>(D97/D$126)</f>
        <v>0</v>
      </c>
      <c r="E224" s="350"/>
      <c r="F224" s="297">
        <f>(F97/F$126)</f>
        <v>0</v>
      </c>
      <c r="G224" s="340"/>
      <c r="H224" s="297">
        <f>(H97/H$126)</f>
        <v>0</v>
      </c>
      <c r="I224" s="326"/>
    </row>
    <row r="225" spans="1:9" x14ac:dyDescent="0.2">
      <c r="A225" s="5"/>
      <c r="B225" s="25"/>
      <c r="C225" s="300"/>
      <c r="D225" s="301"/>
      <c r="E225" s="348"/>
      <c r="F225" s="301"/>
      <c r="G225" s="342"/>
      <c r="H225" s="301"/>
      <c r="I225" s="331"/>
    </row>
    <row r="226" spans="1:9" x14ac:dyDescent="0.2">
      <c r="A226" s="5"/>
      <c r="B226" s="80">
        <v>48</v>
      </c>
      <c r="C226" s="304" t="str">
        <f>C99</f>
        <v xml:space="preserve"> =Lucro Operacional</v>
      </c>
      <c r="D226" s="305">
        <f>(D99/D$126)</f>
        <v>0</v>
      </c>
      <c r="E226" s="345"/>
      <c r="F226" s="305">
        <f>(F99/F$126)</f>
        <v>0</v>
      </c>
      <c r="G226" s="346">
        <f>IF(D226=0,0,IF(D226&lt;0,(F226/D226-1)*-1,(F226/D226-1)*1))</f>
        <v>0</v>
      </c>
      <c r="H226" s="305">
        <f>(H99/H$126)</f>
        <v>0</v>
      </c>
      <c r="I226" s="333">
        <f>IF(F226=0,0,IF(F226&lt;0,((((H226/$H$7)/(F226/$F$7))-1)*-1),((((H226/$H$7)/(F226/$F$7))-1)*1)))</f>
        <v>0</v>
      </c>
    </row>
    <row r="227" spans="1:9" x14ac:dyDescent="0.2">
      <c r="A227" s="5"/>
      <c r="B227" s="25"/>
      <c r="C227" s="300"/>
      <c r="D227" s="297"/>
      <c r="E227" s="348"/>
      <c r="F227" s="301"/>
      <c r="G227" s="342"/>
      <c r="H227" s="301"/>
      <c r="I227" s="371"/>
    </row>
    <row r="228" spans="1:9" x14ac:dyDescent="0.2">
      <c r="A228" s="5"/>
      <c r="B228" s="25">
        <v>49</v>
      </c>
      <c r="C228" s="295" t="s">
        <v>327</v>
      </c>
      <c r="D228" s="297">
        <f>(D101/D$126)</f>
        <v>0</v>
      </c>
      <c r="E228" s="350"/>
      <c r="F228" s="297">
        <f>(F101/F$126)</f>
        <v>0</v>
      </c>
      <c r="G228" s="340">
        <f>IF(D228=0,0,IF(D228&lt;0,(F228/D228-1)*-1,(F228/D228-1)*1))</f>
        <v>0</v>
      </c>
      <c r="H228" s="297">
        <f>(H101/H$126)</f>
        <v>0</v>
      </c>
      <c r="I228" s="326">
        <f>IF(F228=0,0,IF(F228&lt;0,((((H228/$H$7)/(F228/$F$7))-1)*-1),((((H228/$H$7)/(F228/$F$7))-1)*1)))</f>
        <v>0</v>
      </c>
    </row>
    <row r="229" spans="1:9" x14ac:dyDescent="0.2">
      <c r="A229" s="5"/>
      <c r="B229" s="25">
        <v>50</v>
      </c>
      <c r="C229" s="295" t="s">
        <v>395</v>
      </c>
      <c r="D229" s="297">
        <f>(D102/D$126)</f>
        <v>0</v>
      </c>
      <c r="E229" s="350"/>
      <c r="F229" s="297">
        <f>(F102/F$126)</f>
        <v>0</v>
      </c>
      <c r="G229" s="340">
        <f>IF(D229=0,0,IF(D229&lt;0,(F229/D229-1)*-1,(F229/D229-1)*1))</f>
        <v>0</v>
      </c>
      <c r="H229" s="297">
        <f>(H102/H$126)</f>
        <v>0</v>
      </c>
      <c r="I229" s="326">
        <f>IF(F229=0,0,IF(F229&lt;0,((((H229/$H$7)/(F229/$F$7))-1)*-1),((((H229/$H$7)/(F229/$F$7))-1)*1)))</f>
        <v>0</v>
      </c>
    </row>
    <row r="230" spans="1:9" x14ac:dyDescent="0.2">
      <c r="A230" s="5"/>
      <c r="B230" s="25"/>
      <c r="C230" s="295" t="s">
        <v>396</v>
      </c>
      <c r="D230" s="297">
        <f>(D103/D$126)</f>
        <v>0</v>
      </c>
      <c r="E230" s="350"/>
      <c r="F230" s="297">
        <f>(F103/F$126)</f>
        <v>0</v>
      </c>
      <c r="G230" s="340"/>
      <c r="H230" s="297">
        <f>(H103/H$126)</f>
        <v>0</v>
      </c>
      <c r="I230" s="326">
        <f>IF(F230=0,0,IF(F230&lt;0,((((H230/$H$7)/(F230/$F$7))-1)*-1),((((H230/$H$7)/(F230/$F$7))-1)*1)))</f>
        <v>0</v>
      </c>
    </row>
    <row r="231" spans="1:9" x14ac:dyDescent="0.2">
      <c r="A231" s="5"/>
      <c r="B231" s="25"/>
      <c r="C231" s="295" t="s">
        <v>397</v>
      </c>
      <c r="D231" s="297">
        <f>(D104/D$126)</f>
        <v>0</v>
      </c>
      <c r="E231" s="350"/>
      <c r="F231" s="297">
        <f>(F104/F$126)</f>
        <v>0</v>
      </c>
      <c r="G231" s="340"/>
      <c r="H231" s="297">
        <f>(H104/H$126)</f>
        <v>0</v>
      </c>
      <c r="I231" s="326">
        <f>IF(F231=0,0,IF(F231&lt;0,((((H231/$H$7)/(F231/$F$7))-1)*-1),((((H231/$H$7)/(F231/$F$7))-1)*1)))</f>
        <v>0</v>
      </c>
    </row>
    <row r="232" spans="1:9" x14ac:dyDescent="0.2">
      <c r="A232" s="5"/>
      <c r="B232" s="25"/>
      <c r="C232" s="295" t="s">
        <v>399</v>
      </c>
      <c r="D232" s="297">
        <f>(D105/D$126)</f>
        <v>0</v>
      </c>
      <c r="E232" s="350"/>
      <c r="F232" s="297">
        <f>(F105/F$126)</f>
        <v>0</v>
      </c>
      <c r="G232" s="340"/>
      <c r="H232" s="297">
        <f>(H105/H$126)</f>
        <v>0</v>
      </c>
      <c r="I232" s="326">
        <f>IF(F232=0,0,IF(F232&lt;0,((((H232/$H$7)/(F232/$F$7))-1)*-1),((((H232/$H$7)/(F232/$F$7))-1)*1)))</f>
        <v>0</v>
      </c>
    </row>
    <row r="233" spans="1:9" x14ac:dyDescent="0.2">
      <c r="A233" s="5"/>
      <c r="B233" s="25"/>
      <c r="C233" s="295" t="s">
        <v>403</v>
      </c>
      <c r="D233" s="297"/>
      <c r="E233" s="350"/>
      <c r="F233" s="297"/>
      <c r="G233" s="340"/>
      <c r="H233" s="297"/>
      <c r="I233" s="326"/>
    </row>
    <row r="234" spans="1:9" x14ac:dyDescent="0.2">
      <c r="A234" s="5"/>
      <c r="B234" s="25"/>
      <c r="C234" s="295"/>
      <c r="D234" s="297"/>
      <c r="E234" s="350"/>
      <c r="F234" s="297"/>
      <c r="G234" s="340"/>
      <c r="H234" s="297"/>
      <c r="I234" s="326"/>
    </row>
    <row r="235" spans="1:9" x14ac:dyDescent="0.2">
      <c r="A235" s="5"/>
      <c r="B235" s="25"/>
      <c r="C235" s="300"/>
      <c r="D235" s="301"/>
      <c r="E235" s="348"/>
      <c r="F235" s="301"/>
      <c r="G235" s="342"/>
      <c r="H235" s="301"/>
      <c r="I235" s="371"/>
    </row>
    <row r="236" spans="1:9" x14ac:dyDescent="0.2">
      <c r="A236" s="5"/>
      <c r="B236" s="80" t="s">
        <v>328</v>
      </c>
      <c r="C236" s="304" t="str">
        <f>C109</f>
        <v xml:space="preserve"> = Lucro Operacional depois do result. Financeiro</v>
      </c>
      <c r="D236" s="305">
        <f>(D109/D$126)</f>
        <v>0</v>
      </c>
      <c r="E236" s="345"/>
      <c r="F236" s="305">
        <f>(F109/F$126)</f>
        <v>0</v>
      </c>
      <c r="G236" s="346">
        <f>IF(D236=0,0,IF(D236&lt;0,(F236/D236-1)*-1,(F236/D236-1)*1))</f>
        <v>0</v>
      </c>
      <c r="H236" s="305">
        <f>(H109/H$126)</f>
        <v>0</v>
      </c>
      <c r="I236" s="333">
        <f>IF(F236=0,0,IF(F236&lt;0,((((H236/$H$7)/(F236/$F$7))-1)*-1),((((H236/$H$7)/(F236/$F$7))-1)*1)))</f>
        <v>0</v>
      </c>
    </row>
    <row r="237" spans="1:9" x14ac:dyDescent="0.2">
      <c r="A237" s="5"/>
      <c r="B237" s="25"/>
      <c r="C237" s="300"/>
      <c r="D237" s="301"/>
      <c r="E237" s="348"/>
      <c r="F237" s="301"/>
      <c r="G237" s="342"/>
      <c r="H237" s="301"/>
      <c r="I237" s="371"/>
    </row>
    <row r="238" spans="1:9" x14ac:dyDescent="0.2">
      <c r="A238" s="5"/>
      <c r="B238" s="25" t="s">
        <v>329</v>
      </c>
      <c r="C238" s="295" t="str">
        <f>C111</f>
        <v xml:space="preserve"> + Receitas (-) Despesas não Operacionais</v>
      </c>
      <c r="D238" s="297">
        <f>(D111/D$126)</f>
        <v>0</v>
      </c>
      <c r="E238" s="350"/>
      <c r="F238" s="297">
        <f>(F111/F$126)</f>
        <v>0</v>
      </c>
      <c r="G238" s="340">
        <f>IF(D238=0,0,IF(D238&lt;0,(F238/D238-1)*-1,(F238/D238-1)*1))</f>
        <v>0</v>
      </c>
      <c r="H238" s="297">
        <f>(H111/H$126)</f>
        <v>0</v>
      </c>
      <c r="I238" s="326">
        <f>IF(F238=0,0,IF(F238&lt;0,((((H238/$H$7)/(F238/$F$7))-1)*-1),((((H238/$H$7)/(F238/$F$7))-1)*1)))</f>
        <v>0</v>
      </c>
    </row>
    <row r="239" spans="1:9" x14ac:dyDescent="0.2">
      <c r="A239" s="5"/>
      <c r="B239" s="25" t="s">
        <v>331</v>
      </c>
      <c r="C239" s="295" t="str">
        <f>C112</f>
        <v>(-) Depreciação e Amortização</v>
      </c>
      <c r="D239" s="297">
        <f>(D112/D$126)</f>
        <v>0</v>
      </c>
      <c r="E239" s="350"/>
      <c r="F239" s="297">
        <f>(F112/F$126)</f>
        <v>0</v>
      </c>
      <c r="G239" s="340">
        <f>IF(D239=0,0,IF(D239&lt;0,(F239/D239-1)*-1,(F239/D239-1)*1))</f>
        <v>0</v>
      </c>
      <c r="H239" s="297">
        <f>(H112/H$126)</f>
        <v>0</v>
      </c>
      <c r="I239" s="326">
        <f>IF(F239=0,0,IF(F239&lt;0,((((H239/$H$7)/(F239/$F$7))-1)*-1),((((H239/$H$7)/(F239/$F$7))-1)*1)))</f>
        <v>0</v>
      </c>
    </row>
    <row r="240" spans="1:9" x14ac:dyDescent="0.2">
      <c r="A240" s="5"/>
      <c r="B240" s="25"/>
      <c r="C240" s="300"/>
      <c r="D240" s="301"/>
      <c r="E240" s="348"/>
      <c r="F240" s="301"/>
      <c r="G240" s="342"/>
      <c r="H240" s="301"/>
      <c r="I240" s="331"/>
    </row>
    <row r="241" spans="1:9" x14ac:dyDescent="0.2">
      <c r="A241" s="5"/>
      <c r="B241" s="80" t="s">
        <v>333</v>
      </c>
      <c r="C241" s="304" t="str">
        <f>C114</f>
        <v xml:space="preserve"> = Resultado antes das Participações </v>
      </c>
      <c r="D241" s="305">
        <f>(D114/D$126)</f>
        <v>0</v>
      </c>
      <c r="E241" s="345"/>
      <c r="F241" s="305">
        <f>(F114/F$126)</f>
        <v>0</v>
      </c>
      <c r="G241" s="346">
        <f>IF(D241=0,0,IF(D241&lt;0,(F241/D241-1)*-1,(F241/D241-1)*1))</f>
        <v>0</v>
      </c>
      <c r="H241" s="305">
        <f>(H114/H$126)</f>
        <v>0</v>
      </c>
      <c r="I241" s="333">
        <f>IF(F241=0,0,IF(F241&lt;0,((((H241/$H$7)/(F241/$F$7))-1)*-1),((((H241/$H$7)/(F241/$F$7))-1)*1)))</f>
        <v>0</v>
      </c>
    </row>
    <row r="242" spans="1:9" x14ac:dyDescent="0.2">
      <c r="A242" s="5"/>
      <c r="B242" s="25"/>
      <c r="C242" s="300"/>
      <c r="D242" s="301"/>
      <c r="E242" s="348"/>
      <c r="F242" s="301"/>
      <c r="G242" s="342"/>
      <c r="H242" s="301"/>
      <c r="I242" s="331"/>
    </row>
    <row r="243" spans="1:9" x14ac:dyDescent="0.2">
      <c r="A243" s="5"/>
      <c r="B243" s="25" t="s">
        <v>335</v>
      </c>
      <c r="C243" s="295" t="str">
        <f>C116</f>
        <v>(-/+) Participações Minoritárias</v>
      </c>
      <c r="D243" s="297">
        <f>(D116/D$126)</f>
        <v>0</v>
      </c>
      <c r="E243" s="350"/>
      <c r="F243" s="297">
        <f>(F116/F$126)</f>
        <v>0</v>
      </c>
      <c r="G243" s="340">
        <f>IF(D243=0,0,IF(D243&lt;0,(F243/D243-1)*-1,(F243/D243-1)*1))</f>
        <v>0</v>
      </c>
      <c r="H243" s="297">
        <f>(H116/H$126)</f>
        <v>0</v>
      </c>
      <c r="I243" s="326">
        <f>IF(F243=0,0,IF(F243&lt;0,((((H243/$H$7)/(F243/$F$7))-1)*-1),((((H243/$H$7)/(F243/$F$7))-1)*1)))</f>
        <v>0</v>
      </c>
    </row>
    <row r="244" spans="1:9" x14ac:dyDescent="0.2">
      <c r="A244" s="5"/>
      <c r="B244" s="25" t="s">
        <v>337</v>
      </c>
      <c r="C244" s="295" t="str">
        <f>C117</f>
        <v>(-/+) Resultado da Equivalência Patrimonial</v>
      </c>
      <c r="D244" s="297">
        <f>(D117/D$126)</f>
        <v>0</v>
      </c>
      <c r="E244" s="350"/>
      <c r="F244" s="297">
        <f>(F117/F$126)</f>
        <v>0</v>
      </c>
      <c r="G244" s="340">
        <f>IF(D244=0,0,IF(D244&lt;0,(F244/D244-1)*-1,(F244/D244-1)*1))</f>
        <v>0</v>
      </c>
      <c r="H244" s="297">
        <f>(H117/H$126)</f>
        <v>0</v>
      </c>
      <c r="I244" s="326">
        <f>IF(F244=0,0,IF(F244&lt;0,((((H244/$H$7)/(F244/$F$7))-1)*-1),((((H244/$H$7)/(F244/$F$7))-1)*1)))</f>
        <v>0</v>
      </c>
    </row>
    <row r="245" spans="1:9" x14ac:dyDescent="0.2">
      <c r="A245" s="5"/>
      <c r="B245" s="25" t="s">
        <v>339</v>
      </c>
      <c r="C245" s="295" t="str">
        <f>C118</f>
        <v>(-/+) Imposto de Renda / Contribuição Social</v>
      </c>
      <c r="D245" s="297">
        <f>(D118/D$126)</f>
        <v>0</v>
      </c>
      <c r="E245" s="350"/>
      <c r="F245" s="297">
        <f>(F118/F$126)</f>
        <v>0</v>
      </c>
      <c r="G245" s="340">
        <f>IF(D245=0,0,IF(D245&lt;0,(F245/D245-1)*-1,(F245/D245-1)*1))</f>
        <v>0</v>
      </c>
      <c r="H245" s="297">
        <f>(H118/H$126)</f>
        <v>0</v>
      </c>
      <c r="I245" s="326">
        <f>IF(F245=0,0,IF(F245&lt;0,((((H245/$H$7)/(F245/$F$7))-1)*-1),((((H245/$H$7)/(F245/$F$7))-1)*1)))</f>
        <v>0</v>
      </c>
    </row>
    <row r="246" spans="1:9" x14ac:dyDescent="0.2">
      <c r="A246" s="5"/>
      <c r="B246" s="25"/>
      <c r="C246" s="300"/>
      <c r="D246" s="301"/>
      <c r="E246" s="348"/>
      <c r="F246" s="301"/>
      <c r="G246" s="342"/>
      <c r="H246" s="301"/>
      <c r="I246" s="371"/>
    </row>
    <row r="247" spans="1:9" ht="13.5" thickBot="1" x14ac:dyDescent="0.25">
      <c r="A247" s="5"/>
      <c r="B247" s="88" t="s">
        <v>351</v>
      </c>
      <c r="C247" s="334" t="str">
        <f>C120</f>
        <v xml:space="preserve"> = LUCRO / PREJUÍZO  LÍQUIDO</v>
      </c>
      <c r="D247" s="335">
        <f>SUM(D241-D243+D244-D245)</f>
        <v>0</v>
      </c>
      <c r="E247" s="354"/>
      <c r="F247" s="335">
        <f>SUM(F241-F243+F244-F245)</f>
        <v>0</v>
      </c>
      <c r="G247" s="355">
        <f>IF(D247=0,0,IF(D247&lt;0,(F247/D247-1)*-1,(F247/D247-1)*1))</f>
        <v>0</v>
      </c>
      <c r="H247" s="335">
        <f>SUM(H241-H243+H244-H245)</f>
        <v>0</v>
      </c>
      <c r="I247" s="337">
        <f>IF(F247=0,0,IF(F247&lt;0,((((H247/$H$7)/(F247/$F$7))-1)*-1),((((H247/$H$7)/(F247/$F$7))-1)*1)))</f>
        <v>0</v>
      </c>
    </row>
    <row r="248" spans="1:9" x14ac:dyDescent="0.2">
      <c r="A248" s="5"/>
      <c r="B248" s="11"/>
      <c r="C248" s="292"/>
      <c r="D248" s="32"/>
      <c r="E248" s="28"/>
      <c r="F248" s="33"/>
      <c r="G248" s="28"/>
      <c r="H248" s="32"/>
      <c r="I248" s="28"/>
    </row>
    <row r="249" spans="1:9" x14ac:dyDescent="0.2">
      <c r="A249" s="5"/>
      <c r="B249" s="11"/>
      <c r="C249" s="10"/>
      <c r="D249" s="32"/>
      <c r="E249" s="28"/>
      <c r="F249" s="33"/>
      <c r="G249" s="28"/>
      <c r="H249" s="32"/>
      <c r="I249" s="28"/>
    </row>
    <row r="250" spans="1:9" ht="15.75" x14ac:dyDescent="0.25">
      <c r="A250" s="5"/>
      <c r="B250" s="982" t="s">
        <v>352</v>
      </c>
      <c r="C250" s="982"/>
      <c r="D250" s="982"/>
      <c r="E250" s="982"/>
      <c r="F250" s="982"/>
      <c r="G250" s="982"/>
      <c r="H250" s="982"/>
      <c r="I250" s="982"/>
    </row>
    <row r="251" spans="1:9" ht="15.75" x14ac:dyDescent="0.25">
      <c r="A251" s="5"/>
      <c r="B251" s="72"/>
      <c r="C251" s="72"/>
      <c r="D251" s="72"/>
      <c r="E251" s="72"/>
      <c r="F251" s="72"/>
      <c r="G251" s="72"/>
      <c r="H251" s="72"/>
      <c r="I251" s="72"/>
    </row>
    <row r="252" spans="1:9" x14ac:dyDescent="0.2">
      <c r="A252" s="5"/>
      <c r="B252" s="13" t="str">
        <f>$B$5</f>
        <v>Cliente:</v>
      </c>
      <c r="C252" s="35" t="str">
        <f>$C$5</f>
        <v>Couroquimica</v>
      </c>
      <c r="D252" s="16">
        <f>D5</f>
        <v>41639</v>
      </c>
      <c r="E252" s="16" t="s">
        <v>251</v>
      </c>
      <c r="F252" s="16">
        <f>F5</f>
        <v>42004</v>
      </c>
      <c r="G252" s="16" t="s">
        <v>251</v>
      </c>
      <c r="H252" s="16">
        <f>H5</f>
        <v>42369</v>
      </c>
      <c r="I252" s="16" t="s">
        <v>251</v>
      </c>
    </row>
    <row r="253" spans="1:9" x14ac:dyDescent="0.2">
      <c r="A253" s="5"/>
      <c r="B253" s="13" t="str">
        <f>$B$6</f>
        <v>Código:</v>
      </c>
      <c r="C253" s="35">
        <f>$C$6</f>
        <v>0</v>
      </c>
      <c r="D253" s="16" t="s">
        <v>251</v>
      </c>
      <c r="E253" s="16" t="s">
        <v>251</v>
      </c>
      <c r="F253" s="16" t="s">
        <v>251</v>
      </c>
      <c r="G253" s="16" t="s">
        <v>251</v>
      </c>
      <c r="H253" s="16" t="s">
        <v>251</v>
      </c>
      <c r="I253" s="16" t="s">
        <v>251</v>
      </c>
    </row>
    <row r="254" spans="1:9" ht="13.5" thickBot="1" x14ac:dyDescent="0.25">
      <c r="A254" s="54"/>
      <c r="B254" s="27"/>
      <c r="C254" s="27"/>
      <c r="D254" s="27"/>
      <c r="E254" s="27"/>
      <c r="F254" s="53"/>
      <c r="G254" s="27"/>
      <c r="H254" s="27"/>
      <c r="I254" s="27"/>
    </row>
    <row r="255" spans="1:9" x14ac:dyDescent="0.2">
      <c r="A255" s="54"/>
      <c r="B255" s="18"/>
      <c r="C255" s="19"/>
      <c r="D255" s="19"/>
      <c r="E255" s="60"/>
      <c r="F255" s="59"/>
      <c r="G255" s="19"/>
      <c r="H255" s="41"/>
      <c r="I255" s="110"/>
    </row>
    <row r="256" spans="1:9" x14ac:dyDescent="0.2">
      <c r="A256" s="5"/>
      <c r="B256" s="30"/>
      <c r="C256" s="292" t="s">
        <v>353</v>
      </c>
      <c r="D256" s="294"/>
      <c r="E256" s="294"/>
      <c r="F256" s="372"/>
      <c r="G256" s="294"/>
      <c r="H256" s="357"/>
      <c r="I256" s="30"/>
    </row>
    <row r="257" spans="1:9" x14ac:dyDescent="0.2">
      <c r="A257" s="5"/>
      <c r="B257" s="30"/>
      <c r="C257" s="294"/>
      <c r="D257" s="373"/>
      <c r="E257" s="374"/>
      <c r="F257" s="372"/>
      <c r="G257" s="294"/>
      <c r="H257" s="357"/>
      <c r="I257" s="111"/>
    </row>
    <row r="258" spans="1:9" x14ac:dyDescent="0.2">
      <c r="A258" s="5"/>
      <c r="B258" s="25" t="s">
        <v>354</v>
      </c>
      <c r="C258" s="295" t="s">
        <v>355</v>
      </c>
      <c r="D258" s="296">
        <f>IF((D$54+D$59+D$58)=0,0,IF(D$65=0,0,SUM(D$54+D$59+D$58)/D$65))</f>
        <v>0</v>
      </c>
      <c r="E258" s="374"/>
      <c r="F258" s="296">
        <f>IF((F$54+F$59+F$58)=0,0,IF(F$65=0,0,SUM(F$54+F$59+F$58)/F$65))</f>
        <v>0</v>
      </c>
      <c r="G258" s="294"/>
      <c r="H258" s="326">
        <f>IF((H$54+H$59+H$58)=0,0,IF(H$65=0,0,SUM(H$54+H$59+H$58)/H$65))</f>
        <v>0</v>
      </c>
      <c r="I258" s="111"/>
    </row>
    <row r="259" spans="1:9" x14ac:dyDescent="0.2">
      <c r="A259" s="5"/>
      <c r="B259" s="25" t="s">
        <v>356</v>
      </c>
      <c r="C259" s="295" t="s">
        <v>357</v>
      </c>
      <c r="D259" s="296">
        <f>IF(D$52=0,0,IF(D$11=0,0,D$52/D$11))</f>
        <v>0</v>
      </c>
      <c r="E259" s="374"/>
      <c r="F259" s="296">
        <f>IF(F$52=0,0,IF(F$11=0,0,F$52/F$11))</f>
        <v>0</v>
      </c>
      <c r="G259" s="294"/>
      <c r="H259" s="326">
        <f>IF(H$52=0,0,IF(H$11=0,0,H$52/H$11))</f>
        <v>0</v>
      </c>
      <c r="I259" s="111"/>
    </row>
    <row r="260" spans="1:9" x14ac:dyDescent="0.2">
      <c r="A260" s="5"/>
      <c r="B260" s="25" t="s">
        <v>358</v>
      </c>
      <c r="C260" s="295" t="s">
        <v>359</v>
      </c>
      <c r="D260" s="296">
        <f>IF(D$34=0,0,IF(D$72=0,0,D$34/D$72))</f>
        <v>0</v>
      </c>
      <c r="E260" s="374"/>
      <c r="F260" s="296">
        <f>IF(F$34=0,0,IF(F$72=0,0,F$34/F$72))</f>
        <v>0</v>
      </c>
      <c r="G260" s="294"/>
      <c r="H260" s="326">
        <f>IF(H$34=0,0,IF(H$72=0,0,H$34/H$72))</f>
        <v>0</v>
      </c>
      <c r="I260" s="111"/>
    </row>
    <row r="261" spans="1:9" x14ac:dyDescent="0.2">
      <c r="A261" s="5"/>
      <c r="B261" s="25"/>
      <c r="C261" s="300"/>
      <c r="D261" s="300"/>
      <c r="E261" s="300"/>
      <c r="F261" s="375"/>
      <c r="G261" s="300"/>
      <c r="H261" s="331"/>
      <c r="I261" s="110"/>
    </row>
    <row r="262" spans="1:9" x14ac:dyDescent="0.2">
      <c r="A262" s="5"/>
      <c r="B262" s="30"/>
      <c r="C262" s="292" t="s">
        <v>360</v>
      </c>
      <c r="D262" s="294"/>
      <c r="E262" s="294"/>
      <c r="F262" s="372"/>
      <c r="G262" s="294"/>
      <c r="H262" s="357"/>
      <c r="I262" s="30"/>
    </row>
    <row r="263" spans="1:9" x14ac:dyDescent="0.2">
      <c r="A263" s="5"/>
      <c r="B263" s="30"/>
      <c r="C263" s="294"/>
      <c r="D263" s="294"/>
      <c r="E263" s="294"/>
      <c r="F263" s="372"/>
      <c r="G263" s="294"/>
      <c r="H263" s="357"/>
      <c r="I263" s="30"/>
    </row>
    <row r="264" spans="1:9" x14ac:dyDescent="0.2">
      <c r="A264" s="5"/>
      <c r="B264" s="25" t="s">
        <v>361</v>
      </c>
      <c r="C264" s="295" t="s">
        <v>362</v>
      </c>
      <c r="D264" s="376">
        <f>IF((D$18)=0,0,IF(D$56=0,0,(D$18)/D$56))</f>
        <v>0</v>
      </c>
      <c r="E264" s="374"/>
      <c r="F264" s="372">
        <f>IF((F$18)=0,0,IF(F$56=0,0,(F$18)/F$56))</f>
        <v>0</v>
      </c>
      <c r="G264" s="294"/>
      <c r="H264" s="377">
        <f>IF((H$18)=0,0,IF(H$56=0,0,(H$18)/H$56))</f>
        <v>0</v>
      </c>
      <c r="I264" s="111"/>
    </row>
    <row r="265" spans="1:9" x14ac:dyDescent="0.2">
      <c r="A265" s="5"/>
      <c r="B265" s="25" t="s">
        <v>363</v>
      </c>
      <c r="C265" s="295" t="s">
        <v>364</v>
      </c>
      <c r="D265" s="376">
        <f>IF((D$18-D$13)=0,0,IF(D$56=0,0,(D$18-D$13)/D$56))</f>
        <v>0</v>
      </c>
      <c r="E265" s="374"/>
      <c r="F265" s="372">
        <f>IF((F$18-F$12)=0,0,IF(F$56=0,0,(F$18-F$13)/F$56))</f>
        <v>0</v>
      </c>
      <c r="G265" s="294"/>
      <c r="H265" s="377">
        <f>IF((H$18-H$12)=0,0,IF(H$56=0,0,(H$18-H$13)/H$56))</f>
        <v>0</v>
      </c>
      <c r="I265" s="111"/>
    </row>
    <row r="266" spans="1:9" x14ac:dyDescent="0.2">
      <c r="A266" s="5"/>
      <c r="B266" s="25"/>
      <c r="C266" s="300"/>
      <c r="D266" s="300"/>
      <c r="E266" s="300"/>
      <c r="F266" s="375"/>
      <c r="G266" s="300"/>
      <c r="H266" s="331"/>
      <c r="I266" s="110"/>
    </row>
    <row r="267" spans="1:9" x14ac:dyDescent="0.2">
      <c r="A267" s="5"/>
      <c r="B267" s="30"/>
      <c r="C267" s="293" t="s">
        <v>365</v>
      </c>
      <c r="D267" s="294"/>
      <c r="E267" s="294"/>
      <c r="F267" s="372"/>
      <c r="G267" s="294"/>
      <c r="H267" s="357"/>
      <c r="I267" s="30"/>
    </row>
    <row r="268" spans="1:9" x14ac:dyDescent="0.2">
      <c r="A268" s="5"/>
      <c r="B268" s="30"/>
      <c r="C268" s="293"/>
      <c r="D268" s="294"/>
      <c r="E268" s="294"/>
      <c r="F268" s="372"/>
      <c r="G268" s="294"/>
      <c r="H268" s="357"/>
      <c r="I268" s="30"/>
    </row>
    <row r="269" spans="1:9" x14ac:dyDescent="0.2">
      <c r="A269" s="5"/>
      <c r="B269" s="29">
        <v>65</v>
      </c>
      <c r="C269" s="294" t="s">
        <v>366</v>
      </c>
      <c r="D269" s="294"/>
      <c r="E269" s="294"/>
      <c r="F269" s="327" t="e">
        <f>(F$236-F$245)/(F$164-F$158-F$174-F$175-F$176-F$177-F$183-F$189-F$190)</f>
        <v>#DIV/0!</v>
      </c>
      <c r="G269" s="294"/>
      <c r="H269" s="378" t="e">
        <f>(H$236-H$245)/(H$164-H$158-H$174-H$175-H$176-H$177-H$183-H$189-H$190)</f>
        <v>#DIV/0!</v>
      </c>
      <c r="I269" s="30"/>
    </row>
    <row r="270" spans="1:9" x14ac:dyDescent="0.2">
      <c r="A270" s="5"/>
      <c r="B270" s="29">
        <v>66</v>
      </c>
      <c r="C270" s="294" t="s">
        <v>367</v>
      </c>
      <c r="D270" s="294"/>
      <c r="E270" s="294"/>
      <c r="F270" s="327" t="e">
        <f>(((F$187+F$188)/(F$164-F$158-F$174-F$175-F$176-F$177-F$183-F$189-F$190))*(F$127/100))+(((F$201-F$158)/(F$164-F$158-F$174-F$175-F$176-F$177-F$183-F$189-F$190))*(F$128/100))</f>
        <v>#DIV/0!</v>
      </c>
      <c r="G270" s="294"/>
      <c r="H270" s="378" t="e">
        <f>(((H$187+H$188)/(H$164-H$158-H$174-H$175-H$176-H$177-H$183-H$189-H$190))*(H$127/100))+(((H$201-H$158)/(H$164-H$158-H$174-H$175-H$176-H$177-H$183-H$189-H$190))*(H$128/100))</f>
        <v>#DIV/0!</v>
      </c>
      <c r="I270" s="30"/>
    </row>
    <row r="271" spans="1:9" x14ac:dyDescent="0.2">
      <c r="A271" s="5"/>
      <c r="B271" s="29">
        <v>67</v>
      </c>
      <c r="C271" s="294" t="s">
        <v>368</v>
      </c>
      <c r="D271" s="379"/>
      <c r="E271" s="294"/>
      <c r="F271" s="380">
        <f>(F$128/100)*(D$201-D$158)</f>
        <v>0</v>
      </c>
      <c r="G271" s="294"/>
      <c r="H271" s="381">
        <f>(H$128/100)*(((F$201-F$158)/12)*$H$7)</f>
        <v>0</v>
      </c>
      <c r="I271" s="30"/>
    </row>
    <row r="272" spans="1:9" x14ac:dyDescent="0.2">
      <c r="A272" s="5"/>
      <c r="B272" s="29">
        <v>68</v>
      </c>
      <c r="C272" s="294" t="s">
        <v>369</v>
      </c>
      <c r="D272" s="382"/>
      <c r="E272" s="294"/>
      <c r="F272" s="380">
        <f>F$247-F$244-F$271</f>
        <v>0</v>
      </c>
      <c r="G272" s="294"/>
      <c r="H272" s="381">
        <f>H$247-H$244-H$271</f>
        <v>0</v>
      </c>
      <c r="I272" s="30"/>
    </row>
    <row r="273" spans="1:9" x14ac:dyDescent="0.2">
      <c r="A273" s="5"/>
      <c r="B273" s="29">
        <v>69</v>
      </c>
      <c r="C273" s="294" t="s">
        <v>370</v>
      </c>
      <c r="D273" s="379"/>
      <c r="E273" s="294"/>
      <c r="F273" s="380">
        <f>F$272/(F$128/100)</f>
        <v>0</v>
      </c>
      <c r="G273" s="294"/>
      <c r="H273" s="381">
        <f>H$272/(H$128/100)</f>
        <v>0</v>
      </c>
      <c r="I273" s="30"/>
    </row>
    <row r="274" spans="1:9" x14ac:dyDescent="0.2">
      <c r="A274" s="5"/>
      <c r="B274" s="25"/>
      <c r="C274" s="300"/>
      <c r="D274" s="300"/>
      <c r="E274" s="300"/>
      <c r="F274" s="375"/>
      <c r="G274" s="300"/>
      <c r="H274" s="331"/>
      <c r="I274" s="110"/>
    </row>
    <row r="275" spans="1:9" x14ac:dyDescent="0.2">
      <c r="A275" s="5"/>
      <c r="B275" s="25"/>
      <c r="C275" s="292" t="s">
        <v>371</v>
      </c>
      <c r="D275" s="300"/>
      <c r="E275" s="300"/>
      <c r="F275" s="375"/>
      <c r="G275" s="300"/>
      <c r="H275" s="331"/>
      <c r="I275" s="110"/>
    </row>
    <row r="276" spans="1:9" x14ac:dyDescent="0.2">
      <c r="A276" s="5"/>
      <c r="B276" s="25"/>
      <c r="C276" s="300"/>
      <c r="D276" s="300"/>
      <c r="E276" s="300"/>
      <c r="F276" s="375"/>
      <c r="G276" s="300"/>
      <c r="H276" s="331"/>
      <c r="I276" s="110"/>
    </row>
    <row r="277" spans="1:9" x14ac:dyDescent="0.2">
      <c r="A277" s="5"/>
      <c r="B277" s="25">
        <v>70</v>
      </c>
      <c r="C277" s="295" t="s">
        <v>372</v>
      </c>
      <c r="D277" s="383">
        <f>$D$138-$D$183</f>
        <v>0</v>
      </c>
      <c r="E277" s="300"/>
      <c r="F277" s="383">
        <f>F$138-F$183</f>
        <v>0</v>
      </c>
      <c r="G277" s="300"/>
      <c r="H277" s="384">
        <f>H$138-H$183</f>
        <v>0</v>
      </c>
      <c r="I277" s="110"/>
    </row>
    <row r="278" spans="1:9" x14ac:dyDescent="0.2">
      <c r="A278" s="5"/>
      <c r="B278" s="25">
        <v>71</v>
      </c>
      <c r="C278" s="295" t="s">
        <v>373</v>
      </c>
      <c r="D278" s="383">
        <f>($D$139+$D$141)-($D$174+$D$175+$D$177)</f>
        <v>0</v>
      </c>
      <c r="E278" s="300"/>
      <c r="F278" s="383">
        <f>(F$139+F$141)-(F$174+F$175+F$177)</f>
        <v>0</v>
      </c>
      <c r="G278" s="300"/>
      <c r="H278" s="384">
        <f>(H$139+H$141)-(H$174+H$175+H$177)</f>
        <v>0</v>
      </c>
      <c r="I278" s="110"/>
    </row>
    <row r="279" spans="1:9" x14ac:dyDescent="0.2">
      <c r="A279" s="5"/>
      <c r="B279" s="25">
        <v>72</v>
      </c>
      <c r="C279" s="295" t="s">
        <v>374</v>
      </c>
      <c r="D279" s="383">
        <f>($D$151+$D$162)-($D$192+$D$201)</f>
        <v>0</v>
      </c>
      <c r="E279" s="300"/>
      <c r="F279" s="383">
        <f>(F$151+F$162)-(F$192+F$201)</f>
        <v>0</v>
      </c>
      <c r="G279" s="300"/>
      <c r="H279" s="384">
        <f>(H$151+H$162)-(H$192+H$201)</f>
        <v>0</v>
      </c>
      <c r="I279" s="110"/>
    </row>
    <row r="280" spans="1:9" ht="13.5" thickBot="1" x14ac:dyDescent="0.25">
      <c r="A280" s="54"/>
      <c r="B280" s="31"/>
      <c r="C280" s="61"/>
      <c r="D280" s="61"/>
      <c r="E280" s="61"/>
      <c r="F280" s="62"/>
      <c r="G280" s="61"/>
      <c r="H280" s="63"/>
      <c r="I280" s="110"/>
    </row>
    <row r="281" spans="1:9" x14ac:dyDescent="0.2">
      <c r="A281" s="54"/>
      <c r="B281" s="8"/>
      <c r="C281" s="27"/>
      <c r="D281" s="27"/>
      <c r="E281" s="27"/>
      <c r="F281" s="53"/>
      <c r="G281" s="27"/>
      <c r="H281" s="27"/>
      <c r="I281" s="27"/>
    </row>
    <row r="282" spans="1:9" x14ac:dyDescent="0.2">
      <c r="A282" s="54"/>
      <c r="B282" s="8"/>
      <c r="C282" s="27"/>
      <c r="D282" s="27"/>
      <c r="E282" s="27"/>
      <c r="F282" s="53"/>
      <c r="G282" s="27"/>
      <c r="H282" s="27"/>
      <c r="I282" s="27"/>
    </row>
    <row r="283" spans="1:9" x14ac:dyDescent="0.2">
      <c r="A283" s="54"/>
      <c r="B283" s="8"/>
      <c r="C283" s="27"/>
      <c r="D283" s="27"/>
      <c r="E283" s="27"/>
      <c r="F283" s="53"/>
      <c r="G283" s="27"/>
      <c r="H283" s="27"/>
      <c r="I283" s="27"/>
    </row>
    <row r="284" spans="1:9" ht="15.75" x14ac:dyDescent="0.25">
      <c r="A284" s="54"/>
      <c r="B284" s="982" t="s">
        <v>375</v>
      </c>
      <c r="C284" s="982"/>
      <c r="D284" s="982"/>
      <c r="E284" s="982"/>
      <c r="F284" s="982"/>
      <c r="G284" s="982"/>
      <c r="H284" s="982"/>
      <c r="I284" s="982"/>
    </row>
    <row r="285" spans="1:9" ht="15.75" x14ac:dyDescent="0.25">
      <c r="A285" s="54"/>
      <c r="B285" s="72"/>
      <c r="C285" s="72"/>
      <c r="D285" s="72"/>
      <c r="E285" s="72"/>
      <c r="F285" s="72"/>
      <c r="G285" s="72"/>
      <c r="H285" s="72"/>
      <c r="I285" s="72"/>
    </row>
    <row r="286" spans="1:9" x14ac:dyDescent="0.2">
      <c r="A286" s="54"/>
      <c r="B286" s="8"/>
      <c r="C286" s="27"/>
      <c r="D286" s="8"/>
      <c r="F286" s="42"/>
      <c r="G286" s="27"/>
      <c r="H286" s="27"/>
      <c r="I286" s="27"/>
    </row>
    <row r="287" spans="1:9" x14ac:dyDescent="0.2">
      <c r="A287" s="5"/>
      <c r="B287" s="13" t="str">
        <f>$B$5</f>
        <v>Cliente:</v>
      </c>
      <c r="C287" s="35" t="str">
        <f>$C$5</f>
        <v>Couroquimica</v>
      </c>
      <c r="D287" s="8"/>
      <c r="E287" s="11"/>
      <c r="F287" s="16">
        <f>F5</f>
        <v>42004</v>
      </c>
      <c r="G287" s="11" t="str">
        <f>G208</f>
        <v>A.H.</v>
      </c>
      <c r="H287" s="16">
        <f>H5</f>
        <v>42369</v>
      </c>
      <c r="I287" s="11" t="str">
        <f>I208</f>
        <v>A.H.</v>
      </c>
    </row>
    <row r="288" spans="1:9" x14ac:dyDescent="0.2">
      <c r="A288" s="5"/>
      <c r="B288" s="13" t="str">
        <f>$B$6</f>
        <v>Código:</v>
      </c>
      <c r="C288" s="35">
        <f>$C$6</f>
        <v>0</v>
      </c>
      <c r="D288" s="8"/>
      <c r="E288" s="11"/>
      <c r="F288" s="16"/>
      <c r="G288" s="11"/>
      <c r="H288" s="16"/>
      <c r="I288" s="76" t="s">
        <v>376</v>
      </c>
    </row>
    <row r="289" spans="1:9" ht="13.5" thickBot="1" x14ac:dyDescent="0.25">
      <c r="A289" s="5"/>
      <c r="D289" s="8"/>
      <c r="E289" s="11"/>
      <c r="F289" s="16"/>
      <c r="G289" s="11"/>
      <c r="H289" s="16"/>
      <c r="I289" s="77"/>
    </row>
    <row r="290" spans="1:9" x14ac:dyDescent="0.2">
      <c r="A290" s="5"/>
      <c r="B290" s="18"/>
      <c r="C290" s="19"/>
      <c r="D290" s="19"/>
      <c r="E290" s="21"/>
      <c r="F290" s="23"/>
      <c r="G290" s="22"/>
      <c r="H290" s="20"/>
      <c r="I290" s="21"/>
    </row>
    <row r="291" spans="1:9" x14ac:dyDescent="0.2">
      <c r="A291" s="5"/>
      <c r="B291" s="25">
        <v>73</v>
      </c>
      <c r="C291" s="295" t="s">
        <v>377</v>
      </c>
      <c r="D291" s="32"/>
      <c r="E291" s="385"/>
      <c r="F291" s="386">
        <f>($F$212)*11/12-($F$139)+($D$139+$F$181-$D$181)</f>
        <v>0</v>
      </c>
      <c r="G291" s="387">
        <v>100</v>
      </c>
      <c r="H291" s="386">
        <f>($H$212-$H$139)+($F$139+$H$181-$F$181)</f>
        <v>0</v>
      </c>
      <c r="I291" s="298">
        <f t="shared" ref="I291:I299" si="22">IF(F291=0,0,IF(F291&lt;0,((((H291/$H$7)/(F291/$F$7))-1)*-1),((((H291/$H$7)/(F291/$F$7))-1)*1)))</f>
        <v>0</v>
      </c>
    </row>
    <row r="292" spans="1:9" x14ac:dyDescent="0.2">
      <c r="A292" s="5"/>
      <c r="B292" s="25">
        <v>74</v>
      </c>
      <c r="C292" s="358" t="s">
        <v>378</v>
      </c>
      <c r="D292" s="58"/>
      <c r="E292" s="385"/>
      <c r="F292" s="386">
        <f>$F$213-$F$177+$D$177</f>
        <v>0</v>
      </c>
      <c r="G292" s="387">
        <v>100</v>
      </c>
      <c r="H292" s="386">
        <f>$H$213-$H$177+$F$177</f>
        <v>0</v>
      </c>
      <c r="I292" s="298">
        <f t="shared" si="22"/>
        <v>0</v>
      </c>
    </row>
    <row r="293" spans="1:9" x14ac:dyDescent="0.2">
      <c r="A293" s="5"/>
      <c r="B293" s="29">
        <v>75</v>
      </c>
      <c r="C293" s="313" t="s">
        <v>379</v>
      </c>
      <c r="D293" s="58"/>
      <c r="E293" s="388"/>
      <c r="F293" s="389">
        <f>$F$217+$F$141-$D$141-$F$174+$D$174</f>
        <v>0</v>
      </c>
      <c r="G293" s="387">
        <v>100</v>
      </c>
      <c r="H293" s="389">
        <f>$H$217+$H$141-$F$141-$H$174+$F$174</f>
        <v>0</v>
      </c>
      <c r="I293" s="298">
        <f t="shared" si="22"/>
        <v>0</v>
      </c>
    </row>
    <row r="294" spans="1:9" x14ac:dyDescent="0.2">
      <c r="A294" s="5"/>
      <c r="B294" s="29">
        <v>76</v>
      </c>
      <c r="C294" s="313" t="s">
        <v>380</v>
      </c>
      <c r="D294" s="58"/>
      <c r="E294" s="388"/>
      <c r="F294" s="390">
        <f>$F$221+$F$222+$F$223</f>
        <v>0</v>
      </c>
      <c r="G294" s="387">
        <v>100</v>
      </c>
      <c r="H294" s="390">
        <f>$H$221+$H$222+$H$223</f>
        <v>0</v>
      </c>
      <c r="I294" s="298">
        <f t="shared" si="22"/>
        <v>0</v>
      </c>
    </row>
    <row r="295" spans="1:9" x14ac:dyDescent="0.2">
      <c r="A295" s="5"/>
      <c r="B295" s="29">
        <v>77</v>
      </c>
      <c r="C295" s="391" t="s">
        <v>381</v>
      </c>
      <c r="D295" s="58"/>
      <c r="E295" s="388"/>
      <c r="F295" s="390">
        <f>$F$229</f>
        <v>0</v>
      </c>
      <c r="G295" s="387">
        <v>100</v>
      </c>
      <c r="H295" s="390">
        <f>$H$229</f>
        <v>0</v>
      </c>
      <c r="I295" s="298">
        <f t="shared" si="22"/>
        <v>0</v>
      </c>
    </row>
    <row r="296" spans="1:9" x14ac:dyDescent="0.2">
      <c r="A296" s="5"/>
      <c r="B296" s="29">
        <v>78</v>
      </c>
      <c r="C296" s="313" t="s">
        <v>382</v>
      </c>
      <c r="D296" s="58"/>
      <c r="E296" s="388"/>
      <c r="F296" s="390">
        <f>$F$228</f>
        <v>0</v>
      </c>
      <c r="G296" s="387">
        <v>100</v>
      </c>
      <c r="H296" s="390">
        <f>$H$228</f>
        <v>0</v>
      </c>
      <c r="I296" s="298">
        <f t="shared" si="22"/>
        <v>0</v>
      </c>
    </row>
    <row r="297" spans="1:9" x14ac:dyDescent="0.2">
      <c r="A297" s="5"/>
      <c r="B297" s="29">
        <v>79</v>
      </c>
      <c r="C297" s="313" t="s">
        <v>383</v>
      </c>
      <c r="D297" s="58"/>
      <c r="E297" s="388"/>
      <c r="F297" s="390">
        <f>$D$183-$F$183</f>
        <v>0</v>
      </c>
      <c r="G297" s="387">
        <v>100</v>
      </c>
      <c r="H297" s="390">
        <f>$F$183-$H$183</f>
        <v>0</v>
      </c>
      <c r="I297" s="298">
        <f t="shared" si="22"/>
        <v>0</v>
      </c>
    </row>
    <row r="298" spans="1:9" x14ac:dyDescent="0.2">
      <c r="A298" s="5"/>
      <c r="B298" s="29">
        <v>80</v>
      </c>
      <c r="C298" s="313" t="s">
        <v>384</v>
      </c>
      <c r="D298" s="58"/>
      <c r="E298" s="388"/>
      <c r="F298" s="390">
        <f>($F$153-$D$153)+($F$158-$D$158)</f>
        <v>0</v>
      </c>
      <c r="G298" s="387">
        <v>100</v>
      </c>
      <c r="H298" s="390">
        <f>($H$153-$F$153)+($H$158-$F$158)</f>
        <v>0</v>
      </c>
      <c r="I298" s="298">
        <f t="shared" si="22"/>
        <v>0</v>
      </c>
    </row>
    <row r="299" spans="1:9" x14ac:dyDescent="0.2">
      <c r="A299" s="5"/>
      <c r="B299" s="29">
        <v>81</v>
      </c>
      <c r="C299" s="313" t="s">
        <v>385</v>
      </c>
      <c r="E299" s="392"/>
      <c r="F299" s="390">
        <f>($D$187+$D$188)-($F$187+$F$188)</f>
        <v>0</v>
      </c>
      <c r="G299" s="387">
        <v>100</v>
      </c>
      <c r="H299" s="390">
        <f>($F$187+$F$188)-($H$187+$H$188)</f>
        <v>0</v>
      </c>
      <c r="I299" s="298">
        <f t="shared" si="22"/>
        <v>0</v>
      </c>
    </row>
    <row r="300" spans="1:9" x14ac:dyDescent="0.2">
      <c r="A300" s="5"/>
      <c r="B300" s="25"/>
      <c r="C300" s="300"/>
      <c r="D300" s="27"/>
      <c r="E300" s="302"/>
      <c r="F300" s="393"/>
      <c r="G300" s="394"/>
      <c r="H300" s="395"/>
      <c r="I300" s="302"/>
    </row>
    <row r="301" spans="1:9" x14ac:dyDescent="0.2">
      <c r="A301" s="5"/>
      <c r="B301" s="29">
        <v>82</v>
      </c>
      <c r="C301" s="293" t="s">
        <v>386</v>
      </c>
      <c r="D301" s="64"/>
      <c r="E301" s="396"/>
      <c r="F301" s="397">
        <f>$F$291-$F$292-$F$293-$F$294+$F$295-$F$296-$F$297-$F$298-$F$299</f>
        <v>0</v>
      </c>
      <c r="G301" s="398">
        <v>100</v>
      </c>
      <c r="H301" s="397">
        <f>H$291-H$292-H$293-H$294+H$295-H$296-H$297-H$298-H$299</f>
        <v>0</v>
      </c>
      <c r="I301" s="399">
        <f>IF(F301=0,0,IF(F301&lt;0,((((H301/$H$7)/(F301/$F$7))-1)*-1),((((H301/$H$7)/(F301/$F$7))-1)*1)))</f>
        <v>0</v>
      </c>
    </row>
    <row r="302" spans="1:9" x14ac:dyDescent="0.2">
      <c r="A302" s="5"/>
      <c r="B302" s="25"/>
      <c r="C302" s="300"/>
      <c r="D302" s="27"/>
      <c r="E302" s="302"/>
      <c r="F302" s="393"/>
      <c r="G302" s="394"/>
      <c r="H302" s="395"/>
      <c r="I302" s="302"/>
    </row>
    <row r="303" spans="1:9" x14ac:dyDescent="0.2">
      <c r="A303" s="5"/>
      <c r="B303" s="29">
        <v>83</v>
      </c>
      <c r="C303" s="294" t="s">
        <v>387</v>
      </c>
      <c r="D303" s="58"/>
      <c r="E303" s="392"/>
      <c r="F303" s="390">
        <f>$D$140-$F$140</f>
        <v>0</v>
      </c>
      <c r="G303" s="387">
        <v>100</v>
      </c>
      <c r="H303" s="390">
        <f>$F$140-$H$140</f>
        <v>0</v>
      </c>
      <c r="I303" s="298">
        <f t="shared" ref="I303:I308" si="23">IF(F303=0,0,IF(F303&lt;0,((((H303/$H$7)/(F303/$F$7))-1)*-1),((((H303/$H$7)/(F303/$F$7))-1)*1)))</f>
        <v>0</v>
      </c>
    </row>
    <row r="304" spans="1:9" x14ac:dyDescent="0.2">
      <c r="A304" s="5"/>
      <c r="B304" s="29">
        <v>84</v>
      </c>
      <c r="C304" s="313" t="s">
        <v>388</v>
      </c>
      <c r="D304" s="58"/>
      <c r="E304" s="392"/>
      <c r="F304" s="390">
        <f>$D$176-$F$176</f>
        <v>0</v>
      </c>
      <c r="G304" s="387">
        <v>100</v>
      </c>
      <c r="H304" s="390">
        <f>$F$176-$H$176</f>
        <v>0</v>
      </c>
      <c r="I304" s="298">
        <f t="shared" si="23"/>
        <v>0</v>
      </c>
    </row>
    <row r="305" spans="1:9" x14ac:dyDescent="0.2">
      <c r="A305" s="5"/>
      <c r="B305" s="29">
        <v>85</v>
      </c>
      <c r="C305" s="294" t="s">
        <v>389</v>
      </c>
      <c r="D305" s="58"/>
      <c r="E305" s="392"/>
      <c r="F305" s="390">
        <f>$F$196-$D$196</f>
        <v>0</v>
      </c>
      <c r="G305" s="387">
        <v>100</v>
      </c>
      <c r="H305" s="390">
        <f>$H$196-$F$196</f>
        <v>0</v>
      </c>
      <c r="I305" s="298">
        <f t="shared" si="23"/>
        <v>0</v>
      </c>
    </row>
    <row r="306" spans="1:9" x14ac:dyDescent="0.2">
      <c r="A306" s="5"/>
      <c r="B306" s="29">
        <v>86</v>
      </c>
      <c r="C306" s="294" t="s">
        <v>390</v>
      </c>
      <c r="D306" s="64"/>
      <c r="E306" s="385"/>
      <c r="F306" s="390">
        <f>$F$244</f>
        <v>0</v>
      </c>
      <c r="G306" s="387">
        <v>100</v>
      </c>
      <c r="H306" s="390">
        <f>$H$244</f>
        <v>0</v>
      </c>
      <c r="I306" s="298">
        <f t="shared" si="23"/>
        <v>0</v>
      </c>
    </row>
    <row r="307" spans="1:9" x14ac:dyDescent="0.2">
      <c r="A307" s="5"/>
      <c r="B307" s="29">
        <v>87</v>
      </c>
      <c r="C307" s="294" t="s">
        <v>391</v>
      </c>
      <c r="E307" s="392"/>
      <c r="F307" s="390">
        <f>$F$238-$F$239</f>
        <v>0</v>
      </c>
      <c r="G307" s="387">
        <v>100</v>
      </c>
      <c r="H307" s="390">
        <f>$H$238-$H$239</f>
        <v>0</v>
      </c>
      <c r="I307" s="298">
        <f t="shared" si="23"/>
        <v>0</v>
      </c>
    </row>
    <row r="308" spans="1:9" x14ac:dyDescent="0.2">
      <c r="A308" s="5"/>
      <c r="B308" s="29">
        <v>88</v>
      </c>
      <c r="C308" s="294" t="s">
        <v>392</v>
      </c>
      <c r="E308" s="392"/>
      <c r="F308" s="390">
        <f>$D$138</f>
        <v>0</v>
      </c>
      <c r="G308" s="387">
        <v>100</v>
      </c>
      <c r="H308" s="390">
        <f>$F$138</f>
        <v>0</v>
      </c>
      <c r="I308" s="298">
        <f t="shared" si="23"/>
        <v>0</v>
      </c>
    </row>
    <row r="309" spans="1:9" x14ac:dyDescent="0.2">
      <c r="A309" s="5"/>
      <c r="B309" s="25"/>
      <c r="C309" s="300"/>
      <c r="D309" s="27"/>
      <c r="E309" s="302"/>
      <c r="F309" s="393"/>
      <c r="G309" s="394"/>
      <c r="H309" s="395"/>
      <c r="I309" s="302"/>
    </row>
    <row r="310" spans="1:9" ht="13.5" thickBot="1" x14ac:dyDescent="0.25">
      <c r="A310" s="5"/>
      <c r="B310" s="65">
        <v>89</v>
      </c>
      <c r="C310" s="400" t="s">
        <v>393</v>
      </c>
      <c r="D310" s="50"/>
      <c r="E310" s="401"/>
      <c r="F310" s="402">
        <f>$F$301+$F$303-$F$304+$F$305+$F$306+$F$307+$F$308</f>
        <v>0</v>
      </c>
      <c r="G310" s="403">
        <v>100</v>
      </c>
      <c r="H310" s="402">
        <f>H$301+H$303-H$304+H$305+H$306+H$307+H$308</f>
        <v>0</v>
      </c>
      <c r="I310" s="404">
        <f>IF(F310=0,0,IF(F310&lt;0,((((H310/$H$7)/(F310/$F$7))-1)*-1),((((H310/$H$7)/(F310/$F$7))-1)*1)))</f>
        <v>0</v>
      </c>
    </row>
    <row r="311" spans="1:9" x14ac:dyDescent="0.2">
      <c r="A311" s="54"/>
      <c r="B311" s="27"/>
      <c r="C311" s="27"/>
      <c r="D311" s="27"/>
      <c r="E311" s="27"/>
      <c r="F311" s="53"/>
      <c r="G311" s="27"/>
      <c r="H311" s="27"/>
      <c r="I311" s="27"/>
    </row>
    <row r="312" spans="1:9" x14ac:dyDescent="0.2">
      <c r="D312" s="64"/>
      <c r="E312" s="64"/>
      <c r="F312" s="39"/>
      <c r="H312" s="64"/>
    </row>
    <row r="313" spans="1:9" x14ac:dyDescent="0.2">
      <c r="D313" s="58"/>
      <c r="E313" s="58"/>
      <c r="F313" s="39"/>
      <c r="H313" s="58"/>
      <c r="I313" s="58"/>
    </row>
    <row r="314" spans="1:9" x14ac:dyDescent="0.2">
      <c r="B314" s="64"/>
      <c r="D314" s="58"/>
      <c r="E314" s="58"/>
      <c r="F314" s="39"/>
      <c r="H314" s="58"/>
      <c r="I314" s="66"/>
    </row>
    <row r="315" spans="1:9" x14ac:dyDescent="0.2">
      <c r="B315" s="64"/>
      <c r="D315" s="58"/>
      <c r="E315" s="58"/>
      <c r="F315" s="39"/>
      <c r="H315" s="58"/>
      <c r="I315" s="58"/>
    </row>
    <row r="316" spans="1:9" x14ac:dyDescent="0.2">
      <c r="B316" s="64"/>
      <c r="D316" s="58"/>
      <c r="E316" s="58"/>
      <c r="F316" s="39"/>
      <c r="H316" s="58"/>
      <c r="I316" s="58"/>
    </row>
    <row r="317" spans="1:9" x14ac:dyDescent="0.2">
      <c r="B317" s="64"/>
      <c r="D317" s="58"/>
      <c r="E317" s="58"/>
      <c r="F317" s="39"/>
      <c r="H317" s="58"/>
      <c r="I317" s="58"/>
    </row>
    <row r="318" spans="1:9" x14ac:dyDescent="0.2">
      <c r="B318" s="64"/>
      <c r="D318" s="58"/>
      <c r="E318" s="58"/>
      <c r="F318" s="39"/>
      <c r="H318" s="58"/>
      <c r="I318" s="58"/>
    </row>
    <row r="319" spans="1:9" x14ac:dyDescent="0.2">
      <c r="B319" s="64"/>
      <c r="D319" s="58"/>
      <c r="E319" s="58"/>
      <c r="F319" s="39"/>
      <c r="H319" s="58"/>
      <c r="I319" s="58"/>
    </row>
    <row r="320" spans="1:9" x14ac:dyDescent="0.2">
      <c r="B320" s="64"/>
      <c r="D320" s="58"/>
      <c r="E320" s="58"/>
      <c r="F320" s="39"/>
      <c r="H320" s="58"/>
      <c r="I320" s="58"/>
    </row>
    <row r="321" spans="2:9" x14ac:dyDescent="0.2">
      <c r="B321" s="64"/>
      <c r="D321" s="58"/>
      <c r="E321" s="58"/>
      <c r="F321" s="39"/>
      <c r="H321" s="58"/>
      <c r="I321" s="58"/>
    </row>
    <row r="322" spans="2:9" x14ac:dyDescent="0.2">
      <c r="B322" s="64"/>
      <c r="D322" s="58"/>
      <c r="E322" s="58"/>
      <c r="F322" s="39"/>
      <c r="H322" s="58"/>
      <c r="I322" s="58"/>
    </row>
    <row r="323" spans="2:9" x14ac:dyDescent="0.2">
      <c r="B323" s="64"/>
      <c r="D323" s="58"/>
      <c r="E323" s="58"/>
      <c r="F323" s="39"/>
      <c r="H323" s="58"/>
      <c r="I323" s="58"/>
    </row>
    <row r="324" spans="2:9" x14ac:dyDescent="0.2">
      <c r="B324" s="64"/>
      <c r="F324" s="39"/>
    </row>
    <row r="325" spans="2:9" x14ac:dyDescent="0.2">
      <c r="B325" s="64"/>
      <c r="D325" s="67"/>
      <c r="E325" s="68"/>
      <c r="F325" s="39"/>
      <c r="H325" s="67"/>
      <c r="I325" s="68"/>
    </row>
    <row r="326" spans="2:9" x14ac:dyDescent="0.2">
      <c r="B326" s="64"/>
      <c r="F326" s="39"/>
    </row>
  </sheetData>
  <sheetProtection password="C8F9" sheet="1" objects="1" scenarios="1" selectLockedCells="1"/>
  <mergeCells count="8">
    <mergeCell ref="B250:I250"/>
    <mergeCell ref="B284:I284"/>
    <mergeCell ref="B2:I2"/>
    <mergeCell ref="B39:I39"/>
    <mergeCell ref="B78:I78"/>
    <mergeCell ref="B132:I132"/>
    <mergeCell ref="B168:I168"/>
    <mergeCell ref="B205:I205"/>
  </mergeCells>
  <phoneticPr fontId="3" type="noConversion"/>
  <printOptions horizontalCentered="1" verticalCentered="1"/>
  <pageMargins left="0" right="0" top="0.78740157480314965" bottom="0.78740157480314965" header="0" footer="0"/>
  <pageSetup paperSize="9" scale="55" orientation="landscape" horizontalDpi="300" verticalDpi="300" r:id="rId1"/>
  <headerFooter alignWithMargins="0"/>
  <rowBreaks count="7" manualBreakCount="7">
    <brk id="38" max="16383" man="1"/>
    <brk id="77" max="16383" man="1"/>
    <brk id="131" max="16383" man="1"/>
    <brk id="167" max="16383" man="1"/>
    <brk id="204" max="16383" man="1"/>
    <brk id="249" max="16383" man="1"/>
    <brk id="282" max="16383" man="1"/>
  </rowBreaks>
  <ignoredErrors>
    <ignoredError sqref="C174:C203 E32 E115 H35:H36 I174:I203 I17 G31 F35:F36 E31 E163 E15 E25:E26 E147 E17 I10:I15 G134:G137 D71:D73 D81:E84 H170:H172 I225:I228 E87 G208:I211 E134:F136 F99 B41:B42 C138:C143 B138:B144 E28:E29 C155 B146:C154 I101:I104 D138:D144 D33:E33 F246:F247 E184 E144 E98 G214:I214 F288:F293 I287:I293 G287:G293 H288:H293 F294:I310 D146:D164 H134:H136 D174:D203 E170:E173 G81:G87 D41:H44 I18 G33:H33 G24 H81:H83 I244:I245 D244:F245 F81:F83 I115 I156:I164 I146:I154 I138:I144 E152 I100 I94 H138:H164 E99 I41:I74 G46:G53 I98 F170:F172 G170:G173 E208:E211 F115 B156:C164 H212:I213 D246:D247 F224:F232 D224:D232 H215:I223 H224:H232 D235:D243 F235:F243 H235:H243 H246:H247 D208:D223 F208:F223 I134:I137 D134:D137 F138:F164 G17 E22 I30:I31 E20:E21 I22:I24 I33 G32 I20:I21 I25:I29 H119:H120 G25:G29 G10:G16 I32 I34 D34 F33 F17 F22:F24 F18 D35:E35 I35:I36 F34 F19 I19 E19 I92 I95:I96 I88:I91 I93 F107:F110 I81:I87 F113 F119 I113 I119 E113 E119 E111:E112 E114 I111:I112 I114 F98 F114 E116:E118 E120 I116:I118 I120 F91:F92 F120 D119 E101:E110 I107:I110 E100 D120 F88:F89 F274:F280 D170:D173 I170:I173 F174:F203 H174:H203 I235:I243 I246:I247 D252:E280 G252:I280 F252:F270 E24 D36" unlockedFormula="1"/>
    <ignoredError sqref="G58:G74 G18:G19 G22:G23 G215:G223 G98:G101 G235:G247 G225:G232 G174:G203 G88:G94 G34:G36 G30 G107:G120 G212:G213 G54:G57 G156:G164 G146:G154 G138:G144 G155 G145 G20:G21" formula="1" unlockedFormula="1"/>
    <ignoredError sqref="B28:B35 B109:B118 B10:B26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AG268"/>
  <sheetViews>
    <sheetView tabSelected="1" topLeftCell="A20" zoomScale="115" zoomScaleNormal="115" workbookViewId="0">
      <selection activeCell="G42" sqref="G42"/>
    </sheetView>
  </sheetViews>
  <sheetFormatPr defaultRowHeight="11.25" x14ac:dyDescent="0.2"/>
  <cols>
    <col min="1" max="1" width="10.5703125" style="405" customWidth="1"/>
    <col min="2" max="2" width="14" style="405" hidden="1" customWidth="1"/>
    <col min="3" max="3" width="35" style="405" bestFit="1" customWidth="1"/>
    <col min="4" max="7" width="12.7109375" style="405" customWidth="1"/>
    <col min="8" max="8" width="1.7109375" style="405" customWidth="1"/>
    <col min="9" max="9" width="11" style="405" hidden="1" customWidth="1"/>
    <col min="10" max="13" width="9.28515625" style="405" hidden="1" customWidth="1"/>
    <col min="14" max="14" width="1.7109375" style="405" hidden="1" customWidth="1"/>
    <col min="15" max="15" width="35" style="405" hidden="1" customWidth="1"/>
    <col min="16" max="16" width="15.140625" style="405" hidden="1" customWidth="1"/>
    <col min="17" max="17" width="10.140625" style="405" hidden="1" customWidth="1"/>
    <col min="18" max="18" width="11.85546875" style="405" hidden="1" customWidth="1"/>
    <col min="19" max="19" width="10.140625" style="405" hidden="1" customWidth="1"/>
    <col min="20" max="20" width="14.140625" style="405" hidden="1" customWidth="1"/>
    <col min="21" max="21" width="9.42578125" style="405" hidden="1" customWidth="1"/>
    <col min="22" max="22" width="11.85546875" style="405" hidden="1" customWidth="1"/>
    <col min="23" max="23" width="9.140625" style="405" hidden="1" customWidth="1"/>
    <col min="24" max="24" width="7.140625" style="405" hidden="1" customWidth="1"/>
    <col min="25" max="25" width="15.42578125" style="405" hidden="1" customWidth="1"/>
    <col min="26" max="26" width="14.5703125" style="405" hidden="1" customWidth="1"/>
    <col min="27" max="27" width="16" style="405" hidden="1" customWidth="1"/>
    <col min="28" max="31" width="9.140625" style="405" hidden="1" customWidth="1"/>
    <col min="32" max="32" width="9.28515625" style="405" bestFit="1" customWidth="1"/>
    <col min="33" max="34" width="9.140625" style="405"/>
    <col min="35" max="35" width="10.85546875" style="405" bestFit="1" customWidth="1"/>
    <col min="36" max="16384" width="9.140625" style="405"/>
  </cols>
  <sheetData>
    <row r="1" spans="2:30" ht="5.25" customHeight="1" thickBot="1" x14ac:dyDescent="0.25">
      <c r="AC1" s="996"/>
      <c r="AD1" s="997"/>
    </row>
    <row r="2" spans="2:30" ht="21.2" customHeight="1" thickBot="1" x14ac:dyDescent="0.25">
      <c r="B2" s="406" t="s">
        <v>412</v>
      </c>
      <c r="C2" s="1076"/>
      <c r="D2" s="1077"/>
      <c r="E2" s="1077"/>
      <c r="F2" s="1077"/>
      <c r="G2" s="1078"/>
      <c r="AC2" s="998"/>
      <c r="AD2" s="999"/>
    </row>
    <row r="3" spans="2:30" ht="11.25" customHeight="1" thickBot="1" x14ac:dyDescent="0.25">
      <c r="C3" s="409" t="s">
        <v>413</v>
      </c>
      <c r="D3" s="409"/>
      <c r="E3" s="409"/>
      <c r="F3" s="409"/>
      <c r="G3" s="409"/>
      <c r="H3" s="409"/>
      <c r="I3" s="410"/>
      <c r="J3" s="1079" t="s">
        <v>414</v>
      </c>
      <c r="K3" s="1080"/>
      <c r="L3" s="1080"/>
      <c r="M3" s="1081"/>
      <c r="AC3" s="998"/>
      <c r="AD3" s="999"/>
    </row>
    <row r="4" spans="2:30" ht="11.25" customHeight="1" thickBot="1" x14ac:dyDescent="0.25">
      <c r="B4" s="411" t="s">
        <v>415</v>
      </c>
      <c r="C4" s="412" t="s">
        <v>415</v>
      </c>
      <c r="D4" s="1082" t="s">
        <v>416</v>
      </c>
      <c r="E4" s="1083"/>
      <c r="F4" s="1084"/>
      <c r="G4" s="1085"/>
      <c r="I4" s="413"/>
      <c r="J4" s="1086" t="s">
        <v>417</v>
      </c>
      <c r="K4" s="1087"/>
      <c r="L4" s="1087"/>
      <c r="M4" s="1088"/>
      <c r="AC4" s="1000" t="s">
        <v>418</v>
      </c>
      <c r="AD4" s="1001"/>
    </row>
    <row r="5" spans="2:30" ht="11.25" customHeight="1" x14ac:dyDescent="0.2">
      <c r="B5" s="414" t="s">
        <v>419</v>
      </c>
      <c r="C5" s="415" t="s">
        <v>420</v>
      </c>
      <c r="D5" s="1089" t="s">
        <v>689</v>
      </c>
      <c r="E5" s="1090"/>
      <c r="F5" s="1093">
        <v>3.12</v>
      </c>
      <c r="G5" s="1094"/>
      <c r="I5" s="416"/>
      <c r="J5" s="417" t="s">
        <v>251</v>
      </c>
      <c r="K5" s="417" t="s">
        <v>421</v>
      </c>
      <c r="L5" s="417" t="s">
        <v>422</v>
      </c>
      <c r="M5" s="418" t="s">
        <v>423</v>
      </c>
      <c r="AC5" s="1002"/>
      <c r="AD5" s="1003"/>
    </row>
    <row r="6" spans="2:30" ht="11.25" customHeight="1" x14ac:dyDescent="0.25">
      <c r="B6" s="419">
        <f>+D24</f>
        <v>42369</v>
      </c>
      <c r="C6" s="420" t="s">
        <v>424</v>
      </c>
      <c r="D6" s="1091"/>
      <c r="E6" s="1092"/>
      <c r="F6" s="1095"/>
      <c r="G6" s="1096"/>
      <c r="I6" s="421" t="s">
        <v>426</v>
      </c>
      <c r="J6" s="422">
        <f>D15</f>
        <v>42369</v>
      </c>
      <c r="K6" s="423">
        <v>1</v>
      </c>
      <c r="L6" s="417">
        <v>1</v>
      </c>
      <c r="M6" s="424">
        <v>1</v>
      </c>
      <c r="O6" s="425"/>
      <c r="AC6" s="996"/>
      <c r="AD6" s="997"/>
    </row>
    <row r="7" spans="2:30" s="426" customFormat="1" ht="11.25" customHeight="1" thickBot="1" x14ac:dyDescent="0.25">
      <c r="B7" s="427">
        <v>1</v>
      </c>
      <c r="C7" s="428">
        <v>2</v>
      </c>
      <c r="D7" s="1061" t="s">
        <v>427</v>
      </c>
      <c r="E7" s="1062"/>
      <c r="F7" s="1063" t="s">
        <v>425</v>
      </c>
      <c r="G7" s="1064"/>
      <c r="I7" s="421" t="s">
        <v>428</v>
      </c>
      <c r="J7" s="422">
        <f>E15</f>
        <v>42735</v>
      </c>
      <c r="K7" s="423">
        <v>1</v>
      </c>
      <c r="L7" s="417">
        <v>1</v>
      </c>
      <c r="M7" s="424">
        <v>1</v>
      </c>
      <c r="O7" s="405"/>
      <c r="P7" s="429"/>
      <c r="AC7" s="998"/>
      <c r="AD7" s="999"/>
    </row>
    <row r="8" spans="2:30" s="426" customFormat="1" ht="11.25" customHeight="1" thickBot="1" x14ac:dyDescent="0.25">
      <c r="B8" s="419">
        <f>+E24</f>
        <v>42735</v>
      </c>
      <c r="C8" s="430" t="s">
        <v>415</v>
      </c>
      <c r="D8" s="1065"/>
      <c r="E8" s="1066"/>
      <c r="F8" s="1067" t="s">
        <v>429</v>
      </c>
      <c r="G8" s="1053"/>
      <c r="I8" s="421" t="s">
        <v>430</v>
      </c>
      <c r="J8" s="422">
        <f>F15</f>
        <v>43100</v>
      </c>
      <c r="K8" s="423">
        <v>1</v>
      </c>
      <c r="L8" s="417">
        <v>1</v>
      </c>
      <c r="M8" s="424">
        <v>1</v>
      </c>
      <c r="O8" s="405"/>
      <c r="AC8" s="998"/>
      <c r="AD8" s="999"/>
    </row>
    <row r="9" spans="2:30" s="426" customFormat="1" ht="11.25" customHeight="1" thickBot="1" x14ac:dyDescent="0.25">
      <c r="B9" s="427">
        <v>1</v>
      </c>
      <c r="C9" s="431" t="s">
        <v>431</v>
      </c>
      <c r="D9" s="1068" t="s">
        <v>432</v>
      </c>
      <c r="E9" s="1069"/>
      <c r="F9" s="1067" t="s">
        <v>433</v>
      </c>
      <c r="G9" s="1053"/>
      <c r="I9" s="432" t="s">
        <v>434</v>
      </c>
      <c r="J9" s="433">
        <f>DATA4</f>
        <v>43465</v>
      </c>
      <c r="K9" s="423">
        <v>1</v>
      </c>
      <c r="L9" s="434">
        <v>1</v>
      </c>
      <c r="M9" s="424">
        <v>1</v>
      </c>
      <c r="P9" s="435"/>
      <c r="AC9" s="998"/>
      <c r="AD9" s="999"/>
    </row>
    <row r="10" spans="2:30" s="426" customFormat="1" ht="11.25" customHeight="1" x14ac:dyDescent="0.2">
      <c r="B10" s="419">
        <f>+F24</f>
        <v>43100</v>
      </c>
      <c r="C10" s="436" t="s">
        <v>424</v>
      </c>
      <c r="D10" s="1070" t="s">
        <v>424</v>
      </c>
      <c r="E10" s="1071"/>
      <c r="F10" s="1052" t="s">
        <v>435</v>
      </c>
      <c r="G10" s="1053"/>
      <c r="I10" s="437"/>
      <c r="J10" s="1054" t="s">
        <v>436</v>
      </c>
      <c r="K10" s="1055"/>
      <c r="L10" s="1055"/>
      <c r="M10" s="1056"/>
      <c r="AC10" s="998"/>
      <c r="AD10" s="999"/>
    </row>
    <row r="11" spans="2:30" ht="11.25" customHeight="1" thickBot="1" x14ac:dyDescent="0.3">
      <c r="B11" s="427">
        <v>1</v>
      </c>
      <c r="C11" s="438">
        <v>2</v>
      </c>
      <c r="D11" s="1057">
        <v>3</v>
      </c>
      <c r="E11" s="1058"/>
      <c r="F11" s="1059" t="s">
        <v>435</v>
      </c>
      <c r="G11" s="1060"/>
      <c r="I11" s="421" t="s">
        <v>426</v>
      </c>
      <c r="J11" s="439">
        <f>J6</f>
        <v>42369</v>
      </c>
      <c r="K11" s="440">
        <v>360</v>
      </c>
      <c r="L11" s="1041" t="s">
        <v>437</v>
      </c>
      <c r="M11" s="1042"/>
      <c r="O11" s="425"/>
      <c r="AC11" s="998"/>
      <c r="AD11" s="999"/>
    </row>
    <row r="12" spans="2:30" ht="11.25" customHeight="1" x14ac:dyDescent="0.2">
      <c r="B12" s="419">
        <f>+G24</f>
        <v>43465</v>
      </c>
      <c r="D12" s="1072"/>
      <c r="E12" s="1072"/>
      <c r="F12" s="426"/>
      <c r="G12" s="426"/>
      <c r="H12" s="426"/>
      <c r="I12" s="421" t="s">
        <v>428</v>
      </c>
      <c r="J12" s="439">
        <f>J7</f>
        <v>42735</v>
      </c>
      <c r="K12" s="440">
        <v>360</v>
      </c>
      <c r="L12" s="1041" t="s">
        <v>437</v>
      </c>
      <c r="M12" s="1042"/>
      <c r="AC12" s="998"/>
      <c r="AD12" s="999"/>
    </row>
    <row r="13" spans="2:30" ht="11.25" customHeight="1" thickBot="1" x14ac:dyDescent="0.25">
      <c r="B13" s="441">
        <v>2</v>
      </c>
      <c r="C13" s="442"/>
      <c r="D13" s="1073"/>
      <c r="E13" s="1073"/>
      <c r="F13" s="426"/>
      <c r="G13" s="426"/>
      <c r="H13" s="426"/>
      <c r="I13" s="421" t="s">
        <v>430</v>
      </c>
      <c r="J13" s="439">
        <f>J8</f>
        <v>43100</v>
      </c>
      <c r="K13" s="443">
        <v>360</v>
      </c>
      <c r="L13" s="1074" t="s">
        <v>437</v>
      </c>
      <c r="M13" s="1075"/>
      <c r="AC13" s="998"/>
      <c r="AD13" s="999"/>
    </row>
    <row r="14" spans="2:30" ht="12.2" customHeight="1" thickBot="1" x14ac:dyDescent="0.25">
      <c r="C14" s="444"/>
      <c r="D14" s="445" t="s">
        <v>438</v>
      </c>
      <c r="E14" s="446" t="s">
        <v>439</v>
      </c>
      <c r="F14" s="446" t="s">
        <v>440</v>
      </c>
      <c r="G14" s="447" t="s">
        <v>441</v>
      </c>
      <c r="H14" s="426"/>
      <c r="I14" s="421" t="s">
        <v>434</v>
      </c>
      <c r="J14" s="439">
        <f>J9</f>
        <v>43465</v>
      </c>
      <c r="K14" s="443">
        <v>360</v>
      </c>
      <c r="L14" s="1041" t="s">
        <v>437</v>
      </c>
      <c r="M14" s="1042"/>
      <c r="AC14" s="1000" t="s">
        <v>418</v>
      </c>
      <c r="AD14" s="1001"/>
    </row>
    <row r="15" spans="2:30" ht="13.7" customHeight="1" x14ac:dyDescent="0.2">
      <c r="C15" s="448" t="s">
        <v>442</v>
      </c>
      <c r="D15" s="449">
        <v>42369</v>
      </c>
      <c r="E15" s="449">
        <v>42735</v>
      </c>
      <c r="F15" s="449">
        <v>43100</v>
      </c>
      <c r="G15" s="449">
        <v>43465</v>
      </c>
      <c r="I15" s="413"/>
      <c r="J15" s="450"/>
      <c r="K15" s="450"/>
      <c r="L15" s="450"/>
      <c r="M15" s="451"/>
      <c r="AC15" s="1002"/>
      <c r="AD15" s="1003"/>
    </row>
    <row r="16" spans="2:30" ht="13.7" customHeight="1" thickBot="1" x14ac:dyDescent="0.25">
      <c r="C16" s="452" t="s">
        <v>442</v>
      </c>
      <c r="D16" s="453" t="s">
        <v>443</v>
      </c>
      <c r="E16" s="453" t="s">
        <v>443</v>
      </c>
      <c r="F16" s="453" t="s">
        <v>443</v>
      </c>
      <c r="G16" s="453" t="s">
        <v>443</v>
      </c>
      <c r="I16" s="454"/>
      <c r="J16" s="455"/>
      <c r="K16" s="455"/>
      <c r="L16" s="455"/>
      <c r="M16" s="456"/>
      <c r="AC16" s="996"/>
      <c r="AD16" s="997"/>
    </row>
    <row r="17" spans="2:30" ht="8.4499999999999993" customHeight="1" thickBot="1" x14ac:dyDescent="0.25">
      <c r="C17" s="1043"/>
      <c r="D17" s="1043"/>
      <c r="E17" s="1043"/>
      <c r="F17" s="1043"/>
      <c r="G17" s="1043"/>
      <c r="I17" s="457"/>
      <c r="J17" s="458"/>
      <c r="K17" s="458"/>
      <c r="L17" s="458"/>
      <c r="M17" s="458"/>
      <c r="O17" s="459"/>
      <c r="P17" s="459"/>
      <c r="Q17" s="459"/>
      <c r="R17" s="459"/>
      <c r="S17" s="459"/>
      <c r="T17" s="459"/>
      <c r="U17" s="459"/>
      <c r="V17" s="459"/>
      <c r="W17" s="459"/>
      <c r="AC17" s="998"/>
      <c r="AD17" s="999"/>
    </row>
    <row r="18" spans="2:30" ht="19.5" thickBot="1" x14ac:dyDescent="0.25">
      <c r="C18" s="1044"/>
      <c r="D18" s="1044"/>
      <c r="E18" s="1044"/>
      <c r="F18" s="1044"/>
      <c r="G18" s="1044"/>
      <c r="I18" s="460"/>
      <c r="J18" s="461"/>
      <c r="K18" s="461"/>
      <c r="L18" s="461"/>
      <c r="M18" s="462"/>
      <c r="O18" s="1044"/>
      <c r="P18" s="1044"/>
      <c r="Q18" s="1044"/>
      <c r="R18" s="1044"/>
      <c r="S18" s="1044"/>
      <c r="T18" s="1044"/>
      <c r="U18" s="1044"/>
      <c r="V18" s="1044"/>
      <c r="W18" s="1044"/>
      <c r="AC18" s="998"/>
      <c r="AD18" s="999"/>
    </row>
    <row r="19" spans="2:30" ht="6" customHeight="1" thickBot="1" x14ac:dyDescent="0.25">
      <c r="C19" s="1045"/>
      <c r="D19" s="1045"/>
      <c r="E19" s="1045"/>
      <c r="F19" s="1045"/>
      <c r="G19" s="1045"/>
      <c r="I19" s="459"/>
      <c r="J19" s="459"/>
      <c r="K19" s="459"/>
      <c r="L19" s="459"/>
      <c r="M19" s="459"/>
      <c r="O19" s="1045"/>
      <c r="P19" s="1045"/>
      <c r="Q19" s="1045"/>
      <c r="R19" s="1045"/>
      <c r="S19" s="1045"/>
      <c r="T19" s="1045"/>
      <c r="U19" s="1045"/>
      <c r="V19" s="1045"/>
      <c r="W19" s="1045"/>
      <c r="AC19" s="998"/>
      <c r="AD19" s="999"/>
    </row>
    <row r="20" spans="2:30" ht="21" thickBot="1" x14ac:dyDescent="0.25">
      <c r="C20" s="1005"/>
      <c r="D20" s="1005"/>
      <c r="E20" s="1005"/>
      <c r="F20" s="1005"/>
      <c r="G20" s="1005"/>
      <c r="I20" s="460"/>
      <c r="J20" s="461"/>
      <c r="K20" s="461"/>
      <c r="L20" s="461"/>
      <c r="M20" s="462"/>
      <c r="O20" s="1005">
        <f>+C20</f>
        <v>0</v>
      </c>
      <c r="P20" s="1005"/>
      <c r="Q20" s="1005"/>
      <c r="R20" s="1005"/>
      <c r="S20" s="1005"/>
      <c r="T20" s="1005"/>
      <c r="U20" s="1005"/>
      <c r="V20" s="1005"/>
      <c r="W20" s="1005"/>
      <c r="AC20" s="998"/>
      <c r="AD20" s="999"/>
    </row>
    <row r="21" spans="2:30" ht="15" customHeight="1" thickBot="1" x14ac:dyDescent="0.25">
      <c r="C21" s="1046"/>
      <c r="D21" s="1046"/>
      <c r="E21" s="1046"/>
      <c r="F21" s="1046"/>
      <c r="G21" s="1046"/>
      <c r="AC21" s="998"/>
      <c r="AD21" s="999"/>
    </row>
    <row r="22" spans="2:30" ht="11.25" customHeight="1" x14ac:dyDescent="0.2">
      <c r="C22" s="463" t="str">
        <f>IF(C7=1,F8,F9)</f>
        <v>CONSOLIDADO</v>
      </c>
      <c r="D22" s="1047" t="str">
        <f>IF(B7=1,"AUDITADO","NÃO AUDITADO")</f>
        <v>AUDITADO</v>
      </c>
      <c r="E22" s="1047" t="str">
        <f>IF(B9=1,"AUDITADO","NÃO AUDITADO")</f>
        <v>AUDITADO</v>
      </c>
      <c r="F22" s="1047" t="str">
        <f>IF(B11=1,"AUDITADO","NÃO AUDITADO")</f>
        <v>AUDITADO</v>
      </c>
      <c r="G22" s="1047" t="str">
        <f>IF(C11=1,"AUDITADO","NÃO AUDITADO")</f>
        <v>NÃO AUDITADO</v>
      </c>
      <c r="I22" s="410"/>
      <c r="J22" s="450"/>
      <c r="K22" s="450"/>
      <c r="L22" s="450"/>
      <c r="M22" s="451"/>
      <c r="O22" s="464" t="str">
        <f>+C22</f>
        <v>CONSOLIDADO</v>
      </c>
      <c r="P22" s="1048" t="str">
        <f>+D22</f>
        <v>AUDITADO</v>
      </c>
      <c r="Q22" s="1049"/>
      <c r="R22" s="1048" t="str">
        <f>+E22</f>
        <v>AUDITADO</v>
      </c>
      <c r="S22" s="1049"/>
      <c r="T22" s="1048" t="str">
        <f>+F22</f>
        <v>AUDITADO</v>
      </c>
      <c r="U22" s="1049"/>
      <c r="V22" s="1048" t="str">
        <f>+G22</f>
        <v>NÃO AUDITADO</v>
      </c>
      <c r="W22" s="1049"/>
      <c r="AC22" s="998"/>
      <c r="AD22" s="999"/>
    </row>
    <row r="23" spans="2:30" x14ac:dyDescent="0.2">
      <c r="C23" s="463">
        <f>+F6</f>
        <v>0</v>
      </c>
      <c r="D23" s="1047"/>
      <c r="E23" s="1047"/>
      <c r="F23" s="1047"/>
      <c r="G23" s="1047"/>
      <c r="I23" s="413"/>
      <c r="J23" s="465"/>
      <c r="K23" s="465"/>
      <c r="L23" s="465"/>
      <c r="M23" s="466"/>
      <c r="O23" s="464" t="str">
        <f>IF(D11=2,F6,F7)</f>
        <v>MOEDA : R$ 1.000</v>
      </c>
      <c r="P23" s="1050"/>
      <c r="Q23" s="1051"/>
      <c r="R23" s="1050"/>
      <c r="S23" s="1051"/>
      <c r="T23" s="1050"/>
      <c r="U23" s="1051"/>
      <c r="V23" s="1050"/>
      <c r="W23" s="1051"/>
      <c r="AC23" s="998"/>
      <c r="AD23" s="999"/>
    </row>
    <row r="24" spans="2:30" ht="12.75" customHeight="1" x14ac:dyDescent="0.2">
      <c r="C24" s="463" t="str">
        <f>IF(C11=1,F10,F11)</f>
        <v>--</v>
      </c>
      <c r="D24" s="467">
        <f>IF(D15="","",+D15)</f>
        <v>42369</v>
      </c>
      <c r="E24" s="467">
        <f>IF(E15="","",+E15)</f>
        <v>42735</v>
      </c>
      <c r="F24" s="980">
        <f>+F15</f>
        <v>43100</v>
      </c>
      <c r="G24" s="980">
        <f>+G15</f>
        <v>43465</v>
      </c>
      <c r="I24" s="413"/>
      <c r="J24" s="465"/>
      <c r="K24" s="465"/>
      <c r="L24" s="465"/>
      <c r="M24" s="466"/>
      <c r="O24" s="464" t="str">
        <f>+C24</f>
        <v>--</v>
      </c>
      <c r="P24" s="468">
        <f>+DATA</f>
        <v>42369</v>
      </c>
      <c r="Q24" s="469" t="s">
        <v>444</v>
      </c>
      <c r="R24" s="468">
        <f>+DATA2</f>
        <v>42735</v>
      </c>
      <c r="S24" s="469" t="s">
        <v>444</v>
      </c>
      <c r="T24" s="468">
        <f>+DATA3</f>
        <v>43100</v>
      </c>
      <c r="U24" s="469" t="s">
        <v>444</v>
      </c>
      <c r="V24" s="468">
        <f>+DATA4</f>
        <v>43465</v>
      </c>
      <c r="W24" s="469" t="s">
        <v>444</v>
      </c>
      <c r="AC24" s="1000" t="s">
        <v>418</v>
      </c>
      <c r="AD24" s="1001"/>
    </row>
    <row r="25" spans="2:30" x14ac:dyDescent="0.2">
      <c r="C25" s="965" t="s">
        <v>445</v>
      </c>
      <c r="D25" s="470">
        <v>5</v>
      </c>
      <c r="E25" s="470">
        <v>50</v>
      </c>
      <c r="F25" s="470">
        <v>500</v>
      </c>
      <c r="G25" s="470">
        <v>5000</v>
      </c>
      <c r="I25" s="413"/>
      <c r="J25" s="465"/>
      <c r="K25" s="465"/>
      <c r="L25" s="465"/>
      <c r="M25" s="466"/>
      <c r="O25" s="471" t="str">
        <f>+C25</f>
        <v>CAIXA</v>
      </c>
      <c r="P25" s="470">
        <f t="shared" ref="P25:P35" si="0">IF(VALOR=1,D25/VLOOKUP(+$J$6,TABELA,2),IF(VALOR=2,D25/VLOOKUP(+$J$6,TABELA,3),D25/VLOOKUP($J$6,TABELA,2)))</f>
        <v>5</v>
      </c>
      <c r="Q25" s="472">
        <f>IF(P$47=0,FALSE(),P25/P$47*100)</f>
        <v>0.52631578947368418</v>
      </c>
      <c r="R25" s="473">
        <f>IF(VALOR=1,E25/VLOOKUP(+$J$7,TABELA,2),IF(VALOR=2,E25/VLOOKUP(+$J$7,TABELA,3),E25/VLOOKUP($J$7,TABELA,2)))</f>
        <v>50</v>
      </c>
      <c r="S25" s="472">
        <f t="shared" ref="S25:S47" si="1">IF(R$47=0,FALSE(),R25/R$47*100)</f>
        <v>0.52631578947368418</v>
      </c>
      <c r="T25" s="473">
        <f>IF(VALOR=1,F25/VLOOKUP(+$J$8,TABELA,2),IF(VALOR=2,F25/VLOOKUP(+$J$8,TABELA,3),F25/VLOOKUP($J$8,TABELA,2)))</f>
        <v>500</v>
      </c>
      <c r="U25" s="472">
        <f>IF(T$47=0,FALSE(),T25/T$47*100)</f>
        <v>0.52631578947368418</v>
      </c>
      <c r="V25" s="473">
        <f>IF(VALOR=1,G25/VLOOKUP(+$J$9,TABELA,2),IF(VALOR=2,G25/VLOOKUP(+$J$9,TABELA,3),G25/VLOOKUP($J$9,TABELA,2)))</f>
        <v>5000</v>
      </c>
      <c r="W25" s="472">
        <f>IF(V$47=0,FALSE(),V25/V$47*100)</f>
        <v>0.64935064935064934</v>
      </c>
      <c r="AC25" s="1002"/>
      <c r="AD25" s="1003"/>
    </row>
    <row r="26" spans="2:30" x14ac:dyDescent="0.2">
      <c r="C26" s="966" t="s">
        <v>446</v>
      </c>
      <c r="D26" s="474">
        <v>10</v>
      </c>
      <c r="E26" s="474">
        <v>100</v>
      </c>
      <c r="F26" s="474">
        <v>1000</v>
      </c>
      <c r="G26" s="474">
        <v>10000</v>
      </c>
      <c r="I26" s="413"/>
      <c r="J26" s="465"/>
      <c r="K26" s="465"/>
      <c r="L26" s="465"/>
      <c r="M26" s="466"/>
      <c r="O26" s="475" t="str">
        <f t="shared" ref="O26:O77" si="2">+C26</f>
        <v>APLICAÇÕES FINANCEIRAS</v>
      </c>
      <c r="P26" s="474">
        <f t="shared" si="0"/>
        <v>10</v>
      </c>
      <c r="Q26" s="476">
        <f t="shared" ref="Q26:Q47" si="3">IF(P$47=0,FALSE(),P26/P$47*100)</f>
        <v>1.0526315789473684</v>
      </c>
      <c r="R26" s="477">
        <f t="shared" ref="R26:R45" si="4">IF(VALOR=1,E26/VLOOKUP(+$J$7,TABELA,2),IF(VALOR=2,E26/VLOOKUP(+$J$7,TABELA,3),E26/VLOOKUP($J$7,TABELA,2)))</f>
        <v>100</v>
      </c>
      <c r="S26" s="476">
        <f t="shared" si="1"/>
        <v>1.0526315789473684</v>
      </c>
      <c r="T26" s="477">
        <f t="shared" ref="T26:T75" si="5">IF(VALOR=1,F26/VLOOKUP(+$J$8,TABELA,2),IF(VALOR=2,F26/VLOOKUP(+$J$8,TABELA,3),F26/VLOOKUP($J$8,TABELA,2)))</f>
        <v>1000</v>
      </c>
      <c r="U26" s="476">
        <f t="shared" ref="U26:U47" si="6">IF(T$47=0,FALSE(),T26/T$47*100)</f>
        <v>1.0526315789473684</v>
      </c>
      <c r="V26" s="477">
        <f t="shared" ref="V26:V75" si="7">IF(VALOR=1,G26/VLOOKUP(+$J$9,TABELA,2),IF(VALOR=2,G26/VLOOKUP(+$J$9,TABELA,3),G26/VLOOKUP($J$9,TABELA,2)))</f>
        <v>10000</v>
      </c>
      <c r="W26" s="476">
        <f t="shared" ref="W26:W47" si="8">IF(V$47=0,FALSE(),V26/V$47*100)</f>
        <v>1.2987012987012987</v>
      </c>
      <c r="AC26" s="996"/>
      <c r="AD26" s="997"/>
    </row>
    <row r="27" spans="2:30" x14ac:dyDescent="0.2">
      <c r="B27" s="1039" t="s">
        <v>447</v>
      </c>
      <c r="C27" s="966" t="s">
        <v>448</v>
      </c>
      <c r="D27" s="474">
        <v>15</v>
      </c>
      <c r="E27" s="474">
        <v>150</v>
      </c>
      <c r="F27" s="474">
        <v>1500</v>
      </c>
      <c r="G27" s="474">
        <v>15000</v>
      </c>
      <c r="I27" s="413"/>
      <c r="J27" s="465"/>
      <c r="K27" s="465"/>
      <c r="L27" s="465"/>
      <c r="M27" s="466"/>
      <c r="O27" s="475" t="str">
        <f t="shared" si="2"/>
        <v>CONTAS A RECEBER</v>
      </c>
      <c r="P27" s="474">
        <f t="shared" si="0"/>
        <v>15</v>
      </c>
      <c r="Q27" s="476">
        <f t="shared" si="3"/>
        <v>1.5789473684210527</v>
      </c>
      <c r="R27" s="477">
        <f t="shared" si="4"/>
        <v>150</v>
      </c>
      <c r="S27" s="476">
        <f t="shared" si="1"/>
        <v>1.5789473684210527</v>
      </c>
      <c r="T27" s="477">
        <f t="shared" si="5"/>
        <v>1500</v>
      </c>
      <c r="U27" s="476">
        <f t="shared" si="6"/>
        <v>1.5789473684210527</v>
      </c>
      <c r="V27" s="477">
        <f t="shared" si="7"/>
        <v>15000</v>
      </c>
      <c r="W27" s="476">
        <f>IF(V$47=0,FALSE(),V27/V$47*100)</f>
        <v>1.948051948051948</v>
      </c>
      <c r="AC27" s="998"/>
      <c r="AD27" s="999"/>
    </row>
    <row r="28" spans="2:30" x14ac:dyDescent="0.2">
      <c r="B28" s="1040"/>
      <c r="C28" s="966" t="s">
        <v>449</v>
      </c>
      <c r="D28" s="474">
        <v>20</v>
      </c>
      <c r="E28" s="474">
        <v>200</v>
      </c>
      <c r="F28" s="474">
        <v>2000</v>
      </c>
      <c r="G28" s="474">
        <v>20000</v>
      </c>
      <c r="I28" s="413"/>
      <c r="J28" s="465"/>
      <c r="K28" s="465"/>
      <c r="L28" s="465"/>
      <c r="M28" s="466"/>
      <c r="O28" s="475" t="str">
        <f t="shared" si="2"/>
        <v>PDD</v>
      </c>
      <c r="P28" s="474">
        <f>IF(VALOR=1,D28/VLOOKUP(+$J$6,TABELA,2),IF(VALOR=2,D28/VLOOKUP(+$J$6,TABELA,3),D28/VLOOKUP($J$6,TABELA,2)))</f>
        <v>20</v>
      </c>
      <c r="Q28" s="476">
        <f t="shared" si="3"/>
        <v>2.1052631578947367</v>
      </c>
      <c r="R28" s="477">
        <f t="shared" si="4"/>
        <v>200</v>
      </c>
      <c r="S28" s="476">
        <f t="shared" si="1"/>
        <v>2.1052631578947367</v>
      </c>
      <c r="T28" s="477">
        <f t="shared" si="5"/>
        <v>2000</v>
      </c>
      <c r="U28" s="476">
        <f t="shared" si="6"/>
        <v>2.1052631578947367</v>
      </c>
      <c r="V28" s="477">
        <f t="shared" si="7"/>
        <v>20000</v>
      </c>
      <c r="W28" s="476">
        <f t="shared" si="8"/>
        <v>2.5974025974025974</v>
      </c>
      <c r="AC28" s="998"/>
      <c r="AD28" s="999"/>
    </row>
    <row r="29" spans="2:30" x14ac:dyDescent="0.2">
      <c r="B29" s="478" t="s">
        <v>450</v>
      </c>
      <c r="C29" s="966" t="s">
        <v>451</v>
      </c>
      <c r="D29" s="474">
        <v>25</v>
      </c>
      <c r="E29" s="474">
        <v>250</v>
      </c>
      <c r="F29" s="474">
        <v>2500</v>
      </c>
      <c r="G29" s="474">
        <v>25000</v>
      </c>
      <c r="I29" s="413"/>
      <c r="J29" s="465"/>
      <c r="K29" s="465"/>
      <c r="L29" s="465"/>
      <c r="M29" s="466"/>
      <c r="O29" s="475" t="str">
        <f t="shared" si="2"/>
        <v>ESTOQUE</v>
      </c>
      <c r="P29" s="474">
        <f t="shared" si="0"/>
        <v>25</v>
      </c>
      <c r="Q29" s="476">
        <f t="shared" si="3"/>
        <v>2.6315789473684208</v>
      </c>
      <c r="R29" s="477">
        <f t="shared" si="4"/>
        <v>250</v>
      </c>
      <c r="S29" s="476">
        <f t="shared" si="1"/>
        <v>2.6315789473684208</v>
      </c>
      <c r="T29" s="477">
        <f t="shared" si="5"/>
        <v>2500</v>
      </c>
      <c r="U29" s="476">
        <f t="shared" si="6"/>
        <v>2.6315789473684208</v>
      </c>
      <c r="V29" s="477">
        <f t="shared" si="7"/>
        <v>25000</v>
      </c>
      <c r="W29" s="476">
        <f t="shared" si="8"/>
        <v>3.2467532467532463</v>
      </c>
      <c r="AC29" s="998"/>
      <c r="AD29" s="999"/>
    </row>
    <row r="30" spans="2:30" x14ac:dyDescent="0.2">
      <c r="B30" s="478" t="s">
        <v>452</v>
      </c>
      <c r="C30" s="966" t="s">
        <v>467</v>
      </c>
      <c r="D30" s="474">
        <v>30</v>
      </c>
      <c r="E30" s="474">
        <v>300</v>
      </c>
      <c r="F30" s="474">
        <v>3000</v>
      </c>
      <c r="G30" s="474">
        <v>30000</v>
      </c>
      <c r="I30" s="413"/>
      <c r="J30" s="465"/>
      <c r="K30" s="465"/>
      <c r="L30" s="465"/>
      <c r="M30" s="466"/>
      <c r="O30" s="475" t="str">
        <f t="shared" si="2"/>
        <v>PARTES RELACIONADAS</v>
      </c>
      <c r="P30" s="474">
        <f t="shared" si="0"/>
        <v>30</v>
      </c>
      <c r="Q30" s="476">
        <f t="shared" si="3"/>
        <v>3.1578947368421053</v>
      </c>
      <c r="R30" s="477">
        <f t="shared" si="4"/>
        <v>300</v>
      </c>
      <c r="S30" s="476">
        <f t="shared" si="1"/>
        <v>3.1578947368421053</v>
      </c>
      <c r="T30" s="477">
        <f t="shared" si="5"/>
        <v>3000</v>
      </c>
      <c r="U30" s="476">
        <f t="shared" si="6"/>
        <v>3.1578947368421053</v>
      </c>
      <c r="V30" s="477">
        <f t="shared" si="7"/>
        <v>30000</v>
      </c>
      <c r="W30" s="476">
        <f t="shared" si="8"/>
        <v>3.8961038961038961</v>
      </c>
      <c r="AC30" s="998"/>
      <c r="AD30" s="999"/>
    </row>
    <row r="31" spans="2:30" x14ac:dyDescent="0.2">
      <c r="B31" s="479">
        <v>1</v>
      </c>
      <c r="C31" s="966" t="s">
        <v>453</v>
      </c>
      <c r="D31" s="474">
        <v>35</v>
      </c>
      <c r="E31" s="474">
        <v>350</v>
      </c>
      <c r="F31" s="474">
        <v>3500</v>
      </c>
      <c r="G31" s="474">
        <v>35000</v>
      </c>
      <c r="I31" s="413"/>
      <c r="J31" s="465"/>
      <c r="K31" s="465"/>
      <c r="L31" s="465"/>
      <c r="M31" s="466"/>
      <c r="O31" s="475" t="str">
        <f t="shared" si="2"/>
        <v>IR E CS DIFERIDOS</v>
      </c>
      <c r="P31" s="474">
        <f t="shared" si="0"/>
        <v>35</v>
      </c>
      <c r="Q31" s="476">
        <f t="shared" si="3"/>
        <v>3.6842105263157889</v>
      </c>
      <c r="R31" s="477">
        <f t="shared" si="4"/>
        <v>350</v>
      </c>
      <c r="S31" s="476">
        <f t="shared" si="1"/>
        <v>3.6842105263157889</v>
      </c>
      <c r="T31" s="477">
        <f t="shared" si="5"/>
        <v>3500</v>
      </c>
      <c r="U31" s="476">
        <f t="shared" si="6"/>
        <v>3.6842105263157889</v>
      </c>
      <c r="V31" s="477">
        <f t="shared" si="7"/>
        <v>35000</v>
      </c>
      <c r="W31" s="476">
        <f t="shared" si="8"/>
        <v>4.5454545454545459</v>
      </c>
      <c r="AC31" s="998"/>
      <c r="AD31" s="999"/>
    </row>
    <row r="32" spans="2:30" x14ac:dyDescent="0.2">
      <c r="B32" s="480">
        <v>1</v>
      </c>
      <c r="C32" s="967" t="s">
        <v>895</v>
      </c>
      <c r="D32" s="474">
        <v>40</v>
      </c>
      <c r="E32" s="474">
        <v>400</v>
      </c>
      <c r="F32" s="474">
        <v>4000</v>
      </c>
      <c r="G32" s="474">
        <v>40000</v>
      </c>
      <c r="I32" s="413"/>
      <c r="J32" s="465"/>
      <c r="K32" s="465"/>
      <c r="L32" s="465"/>
      <c r="M32" s="466"/>
      <c r="O32" s="475" t="str">
        <f t="shared" si="2"/>
        <v>CREDITOS FISCAIS A RECUPERAR</v>
      </c>
      <c r="P32" s="474">
        <f t="shared" si="0"/>
        <v>40</v>
      </c>
      <c r="Q32" s="476">
        <f t="shared" si="3"/>
        <v>4.2105263157894735</v>
      </c>
      <c r="R32" s="477">
        <f t="shared" si="4"/>
        <v>400</v>
      </c>
      <c r="S32" s="476">
        <f t="shared" si="1"/>
        <v>4.2105263157894735</v>
      </c>
      <c r="T32" s="477">
        <f t="shared" si="5"/>
        <v>4000</v>
      </c>
      <c r="U32" s="476">
        <f t="shared" si="6"/>
        <v>4.2105263157894735</v>
      </c>
      <c r="V32" s="477">
        <f t="shared" si="7"/>
        <v>40000</v>
      </c>
      <c r="W32" s="476">
        <f t="shared" si="8"/>
        <v>5.1948051948051948</v>
      </c>
      <c r="AC32" s="998"/>
      <c r="AD32" s="999"/>
    </row>
    <row r="33" spans="2:30" x14ac:dyDescent="0.2">
      <c r="B33" s="481" t="s">
        <v>454</v>
      </c>
      <c r="C33" s="967" t="s">
        <v>911</v>
      </c>
      <c r="D33" s="474">
        <v>45</v>
      </c>
      <c r="E33" s="474">
        <v>450</v>
      </c>
      <c r="F33" s="474">
        <v>4500</v>
      </c>
      <c r="G33" s="474">
        <v>45000</v>
      </c>
      <c r="I33" s="413"/>
      <c r="J33" s="465"/>
      <c r="K33" s="465"/>
      <c r="L33" s="465"/>
      <c r="M33" s="466"/>
      <c r="O33" s="475" t="str">
        <f t="shared" si="2"/>
        <v>ATIVOS DERIVATIVOS</v>
      </c>
      <c r="P33" s="474">
        <f t="shared" si="0"/>
        <v>45</v>
      </c>
      <c r="Q33" s="476">
        <f t="shared" si="3"/>
        <v>4.7368421052631584</v>
      </c>
      <c r="R33" s="477">
        <f t="shared" si="4"/>
        <v>450</v>
      </c>
      <c r="S33" s="476">
        <f t="shared" si="1"/>
        <v>4.7368421052631584</v>
      </c>
      <c r="T33" s="477">
        <f t="shared" si="5"/>
        <v>4500</v>
      </c>
      <c r="U33" s="476">
        <f t="shared" si="6"/>
        <v>4.7368421052631584</v>
      </c>
      <c r="V33" s="477">
        <f t="shared" si="7"/>
        <v>45000</v>
      </c>
      <c r="W33" s="476">
        <f t="shared" si="8"/>
        <v>5.8441558441558437</v>
      </c>
      <c r="AC33" s="998"/>
      <c r="AD33" s="999"/>
    </row>
    <row r="34" spans="2:30" ht="12.75" customHeight="1" x14ac:dyDescent="0.2">
      <c r="B34" s="481" t="s">
        <v>454</v>
      </c>
      <c r="C34" s="967" t="s">
        <v>889</v>
      </c>
      <c r="D34" s="474">
        <v>50</v>
      </c>
      <c r="E34" s="474">
        <v>500</v>
      </c>
      <c r="F34" s="474">
        <v>5000</v>
      </c>
      <c r="G34" s="474">
        <v>50000</v>
      </c>
      <c r="I34" s="413"/>
      <c r="J34" s="465"/>
      <c r="K34" s="465"/>
      <c r="L34" s="465"/>
      <c r="M34" s="466"/>
      <c r="O34" s="475" t="str">
        <f t="shared" si="2"/>
        <v>ADIANTAMENTOS</v>
      </c>
      <c r="P34" s="474">
        <f t="shared" si="0"/>
        <v>50</v>
      </c>
      <c r="Q34" s="476">
        <f t="shared" si="3"/>
        <v>5.2631578947368416</v>
      </c>
      <c r="R34" s="477">
        <f t="shared" si="4"/>
        <v>500</v>
      </c>
      <c r="S34" s="476">
        <f t="shared" si="1"/>
        <v>5.2631578947368416</v>
      </c>
      <c r="T34" s="477">
        <f t="shared" si="5"/>
        <v>5000</v>
      </c>
      <c r="U34" s="476">
        <f t="shared" si="6"/>
        <v>5.2631578947368416</v>
      </c>
      <c r="V34" s="477">
        <f t="shared" si="7"/>
        <v>50000</v>
      </c>
      <c r="W34" s="476">
        <f t="shared" si="8"/>
        <v>6.4935064935064926</v>
      </c>
      <c r="AC34" s="1000" t="s">
        <v>418</v>
      </c>
      <c r="AD34" s="1001"/>
    </row>
    <row r="35" spans="2:30" x14ac:dyDescent="0.2">
      <c r="C35" s="968" t="s">
        <v>456</v>
      </c>
      <c r="D35" s="482">
        <v>55</v>
      </c>
      <c r="E35" s="482">
        <v>550</v>
      </c>
      <c r="F35" s="482">
        <v>5500</v>
      </c>
      <c r="G35" s="482">
        <v>55000</v>
      </c>
      <c r="I35" s="413"/>
      <c r="J35" s="465"/>
      <c r="K35" s="465"/>
      <c r="L35" s="465"/>
      <c r="M35" s="466"/>
      <c r="O35" s="483" t="str">
        <f t="shared" si="2"/>
        <v>OUTROS ATIVOS CIRCULANTES</v>
      </c>
      <c r="P35" s="482">
        <f t="shared" si="0"/>
        <v>55</v>
      </c>
      <c r="Q35" s="484">
        <f t="shared" si="3"/>
        <v>5.7894736842105265</v>
      </c>
      <c r="R35" s="485">
        <f t="shared" si="4"/>
        <v>550</v>
      </c>
      <c r="S35" s="484">
        <f t="shared" si="1"/>
        <v>5.7894736842105265</v>
      </c>
      <c r="T35" s="485">
        <f t="shared" si="5"/>
        <v>5500</v>
      </c>
      <c r="U35" s="484">
        <f t="shared" si="6"/>
        <v>5.7894736842105265</v>
      </c>
      <c r="V35" s="485">
        <f t="shared" si="7"/>
        <v>55000</v>
      </c>
      <c r="W35" s="484">
        <f t="shared" si="8"/>
        <v>7.1428571428571423</v>
      </c>
      <c r="AC35" s="1002"/>
      <c r="AD35" s="1003"/>
    </row>
    <row r="36" spans="2:30" x14ac:dyDescent="0.2">
      <c r="C36" s="486" t="s">
        <v>457</v>
      </c>
      <c r="D36" s="487">
        <f>SUM(D25:D35)</f>
        <v>330</v>
      </c>
      <c r="E36" s="487">
        <f>SUM(E25:E35)</f>
        <v>3300</v>
      </c>
      <c r="F36" s="487">
        <f>SUM(F25:F35)</f>
        <v>33000</v>
      </c>
      <c r="G36" s="487">
        <f>SUM(G25:G35)</f>
        <v>330000</v>
      </c>
      <c r="I36" s="413"/>
      <c r="J36" s="465"/>
      <c r="K36" s="465"/>
      <c r="L36" s="465"/>
      <c r="M36" s="466"/>
      <c r="O36" s="488" t="str">
        <f t="shared" si="2"/>
        <v>ATIVO CIRCULANTE</v>
      </c>
      <c r="P36" s="487">
        <f>SUM(P25:P35)</f>
        <v>330</v>
      </c>
      <c r="Q36" s="489">
        <f t="shared" si="3"/>
        <v>34.736842105263158</v>
      </c>
      <c r="R36" s="487">
        <f>SUM(R25:R35)</f>
        <v>3300</v>
      </c>
      <c r="S36" s="489">
        <f t="shared" si="1"/>
        <v>34.736842105263158</v>
      </c>
      <c r="T36" s="487">
        <f>SUM(T25:T35)</f>
        <v>33000</v>
      </c>
      <c r="U36" s="489">
        <f t="shared" si="6"/>
        <v>34.736842105263158</v>
      </c>
      <c r="V36" s="487">
        <f>SUM(V25:V35)</f>
        <v>330000</v>
      </c>
      <c r="W36" s="489">
        <f t="shared" si="8"/>
        <v>42.857142857142854</v>
      </c>
      <c r="AC36" s="996"/>
      <c r="AD36" s="997"/>
    </row>
    <row r="37" spans="2:30" x14ac:dyDescent="0.2">
      <c r="C37" s="965" t="s">
        <v>467</v>
      </c>
      <c r="D37" s="470">
        <v>60</v>
      </c>
      <c r="E37" s="470">
        <v>600</v>
      </c>
      <c r="F37" s="470">
        <v>6000</v>
      </c>
      <c r="G37" s="470">
        <v>60000</v>
      </c>
      <c r="I37" s="413"/>
      <c r="J37" s="465"/>
      <c r="K37" s="465"/>
      <c r="L37" s="465"/>
      <c r="M37" s="466"/>
      <c r="O37" s="471" t="str">
        <f t="shared" si="2"/>
        <v>PARTES RELACIONADAS</v>
      </c>
      <c r="P37" s="470">
        <f>IF(VALOR=1,D37/VLOOKUP(+$J$6,TABELA,2),IF(VALOR=2,D37/VLOOKUP(+$J$6,TABELA,3),D37/VLOOKUP($J$6,TABELA,2)))</f>
        <v>60</v>
      </c>
      <c r="Q37" s="490">
        <f t="shared" si="3"/>
        <v>6.3157894736842106</v>
      </c>
      <c r="R37" s="470">
        <f t="shared" si="4"/>
        <v>600</v>
      </c>
      <c r="S37" s="490">
        <f t="shared" si="1"/>
        <v>6.3157894736842106</v>
      </c>
      <c r="T37" s="470">
        <f t="shared" si="5"/>
        <v>6000</v>
      </c>
      <c r="U37" s="490">
        <f t="shared" si="6"/>
        <v>6.3157894736842106</v>
      </c>
      <c r="V37" s="470">
        <f t="shared" si="7"/>
        <v>60000</v>
      </c>
      <c r="W37" s="490">
        <f t="shared" si="8"/>
        <v>7.7922077922077921</v>
      </c>
      <c r="AC37" s="998"/>
      <c r="AD37" s="999"/>
    </row>
    <row r="38" spans="2:30" x14ac:dyDescent="0.2">
      <c r="B38" s="491" t="s">
        <v>454</v>
      </c>
      <c r="C38" s="967" t="s">
        <v>453</v>
      </c>
      <c r="D38" s="474">
        <v>65</v>
      </c>
      <c r="E38" s="474">
        <v>650</v>
      </c>
      <c r="F38" s="474">
        <v>6500</v>
      </c>
      <c r="G38" s="474">
        <v>65000</v>
      </c>
      <c r="I38" s="413"/>
      <c r="J38" s="465"/>
      <c r="K38" s="465"/>
      <c r="L38" s="465"/>
      <c r="M38" s="466"/>
      <c r="O38" s="475" t="str">
        <f t="shared" si="2"/>
        <v>IR E CS DIFERIDOS</v>
      </c>
      <c r="P38" s="474">
        <f>IF(VALOR=1,D38/VLOOKUP(+$J$6,TABELA,2),IF(VALOR=2,D38/VLOOKUP(+$J$6,TABELA,3),D38/VLOOKUP($J$6,TABELA,2)))</f>
        <v>65</v>
      </c>
      <c r="Q38" s="492">
        <f t="shared" si="3"/>
        <v>6.8421052631578956</v>
      </c>
      <c r="R38" s="474">
        <f t="shared" si="4"/>
        <v>650</v>
      </c>
      <c r="S38" s="492">
        <f t="shared" si="1"/>
        <v>6.8421052631578956</v>
      </c>
      <c r="T38" s="474">
        <f t="shared" si="5"/>
        <v>6500</v>
      </c>
      <c r="U38" s="492">
        <f t="shared" si="6"/>
        <v>6.8421052631578956</v>
      </c>
      <c r="V38" s="474">
        <f t="shared" si="7"/>
        <v>65000</v>
      </c>
      <c r="W38" s="492">
        <f t="shared" si="8"/>
        <v>8.4415584415584419</v>
      </c>
      <c r="AC38" s="998"/>
      <c r="AD38" s="999"/>
    </row>
    <row r="39" spans="2:30" x14ac:dyDescent="0.2">
      <c r="B39" s="491" t="s">
        <v>454</v>
      </c>
      <c r="C39" s="967" t="s">
        <v>896</v>
      </c>
      <c r="D39" s="474">
        <v>70</v>
      </c>
      <c r="E39" s="474">
        <v>700</v>
      </c>
      <c r="F39" s="474">
        <v>7000</v>
      </c>
      <c r="G39" s="474">
        <v>70000</v>
      </c>
      <c r="I39" s="413"/>
      <c r="J39" s="465"/>
      <c r="K39" s="465"/>
      <c r="L39" s="465"/>
      <c r="M39" s="466"/>
      <c r="O39" s="475" t="str">
        <f t="shared" si="2"/>
        <v>CLIENTES</v>
      </c>
      <c r="P39" s="474">
        <f>IF(VALOR=1,D39/VLOOKUP(+$J$6,TABELA,2),IF(VALOR=2,D39/VLOOKUP(+$J$6,TABELA,3),D39/VLOOKUP($J$6,TABELA,2)))</f>
        <v>70</v>
      </c>
      <c r="Q39" s="492">
        <f t="shared" si="3"/>
        <v>7.3684210526315779</v>
      </c>
      <c r="R39" s="474">
        <f t="shared" si="4"/>
        <v>700</v>
      </c>
      <c r="S39" s="492">
        <f t="shared" si="1"/>
        <v>7.3684210526315779</v>
      </c>
      <c r="T39" s="474">
        <f t="shared" si="5"/>
        <v>7000</v>
      </c>
      <c r="U39" s="492">
        <f t="shared" si="6"/>
        <v>7.3684210526315779</v>
      </c>
      <c r="V39" s="474">
        <f t="shared" si="7"/>
        <v>70000</v>
      </c>
      <c r="W39" s="492">
        <f t="shared" si="8"/>
        <v>9.0909090909090917</v>
      </c>
      <c r="AC39" s="998"/>
      <c r="AD39" s="999"/>
    </row>
    <row r="40" spans="2:30" x14ac:dyDescent="0.2">
      <c r="B40" s="491" t="s">
        <v>454</v>
      </c>
      <c r="C40" s="967" t="s">
        <v>909</v>
      </c>
      <c r="D40" s="474">
        <v>75</v>
      </c>
      <c r="E40" s="474">
        <v>750</v>
      </c>
      <c r="F40" s="474">
        <v>7500</v>
      </c>
      <c r="G40" s="474">
        <v>75000</v>
      </c>
      <c r="I40" s="413"/>
      <c r="J40" s="465"/>
      <c r="K40" s="465"/>
      <c r="L40" s="465"/>
      <c r="M40" s="466"/>
      <c r="O40" s="475" t="str">
        <f t="shared" si="2"/>
        <v>REPACTO RISCO HIDROLÓGICO</v>
      </c>
      <c r="P40" s="474">
        <f>IF(VALOR=1,D40/VLOOKUP(+$J$6,TABELA,2),IF(VALOR=2,D40/VLOOKUP(+$J$6,TABELA,3),D40/VLOOKUP($J$6,TABELA,2)))</f>
        <v>75</v>
      </c>
      <c r="Q40" s="492">
        <f t="shared" si="3"/>
        <v>7.8947368421052628</v>
      </c>
      <c r="R40" s="474">
        <f t="shared" si="4"/>
        <v>750</v>
      </c>
      <c r="S40" s="492">
        <f t="shared" si="1"/>
        <v>7.8947368421052628</v>
      </c>
      <c r="T40" s="474">
        <f t="shared" si="5"/>
        <v>7500</v>
      </c>
      <c r="U40" s="492">
        <f t="shared" si="6"/>
        <v>7.8947368421052628</v>
      </c>
      <c r="V40" s="474">
        <f t="shared" si="7"/>
        <v>75000</v>
      </c>
      <c r="W40" s="492">
        <f t="shared" si="8"/>
        <v>9.7402597402597415</v>
      </c>
      <c r="AC40" s="998"/>
      <c r="AD40" s="999"/>
    </row>
    <row r="41" spans="2:30" x14ac:dyDescent="0.2">
      <c r="C41" s="968" t="s">
        <v>458</v>
      </c>
      <c r="D41" s="482">
        <v>80</v>
      </c>
      <c r="E41" s="482">
        <v>800</v>
      </c>
      <c r="F41" s="482">
        <v>8000</v>
      </c>
      <c r="G41" s="482">
        <v>85000</v>
      </c>
      <c r="I41" s="413"/>
      <c r="J41" s="465"/>
      <c r="K41" s="465"/>
      <c r="L41" s="465"/>
      <c r="M41" s="466"/>
      <c r="O41" s="483" t="str">
        <f t="shared" si="2"/>
        <v>OUTROS ATIVOS NÃO CIRCULANTES</v>
      </c>
      <c r="P41" s="482">
        <f>IF(VALOR=1,D41/VLOOKUP(+$J$6,TABELA,2),IF(VALOR=2,D41/VLOOKUP(+$J$6,TABELA,3),D41/VLOOKUP($J$6,TABELA,2)))</f>
        <v>80</v>
      </c>
      <c r="Q41" s="493">
        <f t="shared" si="3"/>
        <v>8.4210526315789469</v>
      </c>
      <c r="R41" s="482">
        <f t="shared" si="4"/>
        <v>800</v>
      </c>
      <c r="S41" s="493">
        <f t="shared" si="1"/>
        <v>8.4210526315789469</v>
      </c>
      <c r="T41" s="482">
        <f t="shared" si="5"/>
        <v>8000</v>
      </c>
      <c r="U41" s="493">
        <f t="shared" si="6"/>
        <v>8.4210526315789469</v>
      </c>
      <c r="V41" s="482">
        <f t="shared" si="7"/>
        <v>85000</v>
      </c>
      <c r="W41" s="493">
        <f t="shared" si="8"/>
        <v>11.038961038961039</v>
      </c>
      <c r="AC41" s="998"/>
      <c r="AD41" s="999"/>
    </row>
    <row r="42" spans="2:30" x14ac:dyDescent="0.2">
      <c r="C42" s="486" t="s">
        <v>459</v>
      </c>
      <c r="D42" s="487">
        <f>SUM(D37:D41)</f>
        <v>350</v>
      </c>
      <c r="E42" s="487">
        <f>SUM(E37:E41)</f>
        <v>3500</v>
      </c>
      <c r="F42" s="487">
        <f>SUM(F37:F41)</f>
        <v>35000</v>
      </c>
      <c r="G42" s="487">
        <f t="shared" ref="G42" si="9">SUM(G37:G41)</f>
        <v>355000</v>
      </c>
      <c r="I42" s="413"/>
      <c r="J42" s="465"/>
      <c r="K42" s="465"/>
      <c r="L42" s="465"/>
      <c r="M42" s="466"/>
      <c r="O42" s="488" t="str">
        <f t="shared" si="2"/>
        <v>ATIVO NÃO CIRCULANTE</v>
      </c>
      <c r="P42" s="487">
        <f>SUM(P37:P41)</f>
        <v>350</v>
      </c>
      <c r="Q42" s="489">
        <f t="shared" si="3"/>
        <v>36.84210526315789</v>
      </c>
      <c r="R42" s="487">
        <f>SUM(R37:R41)</f>
        <v>3500</v>
      </c>
      <c r="S42" s="489">
        <f t="shared" si="1"/>
        <v>36.84210526315789</v>
      </c>
      <c r="T42" s="487">
        <f>SUM(T37:T41)</f>
        <v>35000</v>
      </c>
      <c r="U42" s="489">
        <f t="shared" si="6"/>
        <v>36.84210526315789</v>
      </c>
      <c r="V42" s="487">
        <f>SUM(V37:V41)</f>
        <v>355000</v>
      </c>
      <c r="W42" s="489">
        <f t="shared" si="8"/>
        <v>46.103896103896105</v>
      </c>
      <c r="AC42" s="998"/>
      <c r="AD42" s="999"/>
    </row>
    <row r="43" spans="2:30" x14ac:dyDescent="0.2">
      <c r="C43" s="965" t="s">
        <v>460</v>
      </c>
      <c r="D43" s="470">
        <v>85</v>
      </c>
      <c r="E43" s="470">
        <v>850</v>
      </c>
      <c r="F43" s="474">
        <v>8500</v>
      </c>
      <c r="G43" s="474">
        <v>85000</v>
      </c>
      <c r="I43" s="413"/>
      <c r="J43" s="465"/>
      <c r="K43" s="465"/>
      <c r="L43" s="465"/>
      <c r="M43" s="466"/>
      <c r="O43" s="471" t="str">
        <f t="shared" si="2"/>
        <v>IMOBILIZADO</v>
      </c>
      <c r="P43" s="474">
        <f>IF(VALOR=1,D43/VLOOKUP(+$J$6,TABELA,2),IF(VALOR=2,D43/VLOOKUP(+$J$6,TABELA,3),D43/VLOOKUP($J$6,TABELA,2)))</f>
        <v>85</v>
      </c>
      <c r="Q43" s="490">
        <f t="shared" si="3"/>
        <v>8.9473684210526319</v>
      </c>
      <c r="R43" s="474">
        <f t="shared" si="4"/>
        <v>850</v>
      </c>
      <c r="S43" s="490">
        <f t="shared" si="1"/>
        <v>8.9473684210526319</v>
      </c>
      <c r="T43" s="474">
        <f t="shared" si="5"/>
        <v>8500</v>
      </c>
      <c r="U43" s="490">
        <f t="shared" si="6"/>
        <v>8.9473684210526319</v>
      </c>
      <c r="V43" s="474">
        <f t="shared" si="7"/>
        <v>85000</v>
      </c>
      <c r="W43" s="490">
        <f t="shared" si="8"/>
        <v>11.038961038961039</v>
      </c>
      <c r="AC43" s="998"/>
      <c r="AD43" s="999"/>
    </row>
    <row r="44" spans="2:30" ht="12.75" customHeight="1" x14ac:dyDescent="0.2">
      <c r="C44" s="966" t="s">
        <v>886</v>
      </c>
      <c r="D44" s="474">
        <v>90</v>
      </c>
      <c r="E44" s="474">
        <v>900</v>
      </c>
      <c r="F44" s="474">
        <v>9000</v>
      </c>
      <c r="G44" s="474"/>
      <c r="I44" s="413"/>
      <c r="J44" s="465"/>
      <c r="K44" s="465"/>
      <c r="L44" s="465"/>
      <c r="M44" s="466"/>
      <c r="O44" s="475" t="str">
        <f t="shared" si="2"/>
        <v>INVESTIMENTOS</v>
      </c>
      <c r="P44" s="474">
        <f>IF(VALOR=1,D44/VLOOKUP(+$J$6,TABELA,2),IF(VALOR=2,D44/VLOOKUP(+$J$6,TABELA,3),D44/VLOOKUP($J$6,TABELA,2)))</f>
        <v>90</v>
      </c>
      <c r="Q44" s="492">
        <f t="shared" si="3"/>
        <v>9.4736842105263168</v>
      </c>
      <c r="R44" s="474">
        <f t="shared" si="4"/>
        <v>900</v>
      </c>
      <c r="S44" s="492">
        <f t="shared" si="1"/>
        <v>9.4736842105263168</v>
      </c>
      <c r="T44" s="474">
        <f t="shared" si="5"/>
        <v>9000</v>
      </c>
      <c r="U44" s="492">
        <f t="shared" si="6"/>
        <v>9.4736842105263168</v>
      </c>
      <c r="V44" s="474">
        <f t="shared" si="7"/>
        <v>0</v>
      </c>
      <c r="W44" s="492">
        <f t="shared" si="8"/>
        <v>0</v>
      </c>
      <c r="AC44" s="1000" t="s">
        <v>418</v>
      </c>
      <c r="AD44" s="1001"/>
    </row>
    <row r="45" spans="2:30" x14ac:dyDescent="0.2">
      <c r="C45" s="968" t="s">
        <v>461</v>
      </c>
      <c r="D45" s="482">
        <v>95</v>
      </c>
      <c r="E45" s="482">
        <v>950</v>
      </c>
      <c r="F45" s="482">
        <v>9500</v>
      </c>
      <c r="G45" s="482"/>
      <c r="I45" s="413"/>
      <c r="J45" s="465"/>
      <c r="K45" s="465"/>
      <c r="L45" s="465"/>
      <c r="M45" s="466"/>
      <c r="O45" s="483" t="str">
        <f t="shared" si="2"/>
        <v>INTANGIVEIS</v>
      </c>
      <c r="P45" s="482">
        <f>IF(VALOR=1,D45/VLOOKUP(+$J$6,TABELA,2),IF(VALOR=2,D45/VLOOKUP(+$J$6,TABELA,3),D45/VLOOKUP($J$6,TABELA,2)))</f>
        <v>95</v>
      </c>
      <c r="Q45" s="493">
        <f t="shared" si="3"/>
        <v>10</v>
      </c>
      <c r="R45" s="482">
        <f t="shared" si="4"/>
        <v>950</v>
      </c>
      <c r="S45" s="493">
        <f t="shared" si="1"/>
        <v>10</v>
      </c>
      <c r="T45" s="482">
        <f t="shared" si="5"/>
        <v>9500</v>
      </c>
      <c r="U45" s="493">
        <f t="shared" si="6"/>
        <v>10</v>
      </c>
      <c r="V45" s="482">
        <f t="shared" si="7"/>
        <v>0</v>
      </c>
      <c r="W45" s="493">
        <f t="shared" si="8"/>
        <v>0</v>
      </c>
      <c r="AC45" s="1002"/>
      <c r="AD45" s="1003"/>
    </row>
    <row r="46" spans="2:30" x14ac:dyDescent="0.2">
      <c r="C46" s="486" t="s">
        <v>462</v>
      </c>
      <c r="D46" s="487">
        <f>SUM(D43:D45)</f>
        <v>270</v>
      </c>
      <c r="E46" s="487">
        <f>SUM(E43:E45)</f>
        <v>2700</v>
      </c>
      <c r="F46" s="487">
        <f>SUM(F43:F45)</f>
        <v>27000</v>
      </c>
      <c r="G46" s="487">
        <f>SUM(G43:G45)</f>
        <v>85000</v>
      </c>
      <c r="I46" s="413"/>
      <c r="J46" s="465"/>
      <c r="K46" s="465"/>
      <c r="L46" s="465"/>
      <c r="M46" s="466"/>
      <c r="O46" s="488" t="str">
        <f t="shared" si="2"/>
        <v>ATIVO PERMANENTE</v>
      </c>
      <c r="P46" s="487">
        <f>SUM(P43:P45)</f>
        <v>270</v>
      </c>
      <c r="Q46" s="489">
        <f t="shared" si="3"/>
        <v>28.421052631578945</v>
      </c>
      <c r="R46" s="487">
        <f>SUM(R43:R45)</f>
        <v>2700</v>
      </c>
      <c r="S46" s="489">
        <f t="shared" si="1"/>
        <v>28.421052631578945</v>
      </c>
      <c r="T46" s="487">
        <f>SUM(T43:T45)</f>
        <v>27000</v>
      </c>
      <c r="U46" s="489">
        <f t="shared" si="6"/>
        <v>28.421052631578945</v>
      </c>
      <c r="V46" s="487">
        <f>SUM(V43:V45)</f>
        <v>85000</v>
      </c>
      <c r="W46" s="489">
        <f t="shared" si="8"/>
        <v>11.038961038961039</v>
      </c>
      <c r="AC46" s="996"/>
      <c r="AD46" s="997"/>
    </row>
    <row r="47" spans="2:30" x14ac:dyDescent="0.2">
      <c r="C47" s="486" t="s">
        <v>463</v>
      </c>
      <c r="D47" s="487">
        <f>(D36+D42+D46)</f>
        <v>950</v>
      </c>
      <c r="E47" s="487">
        <f>(E36+E42+E46)</f>
        <v>9500</v>
      </c>
      <c r="F47" s="487">
        <f>(F36+F42+F46)</f>
        <v>95000</v>
      </c>
      <c r="G47" s="487">
        <f>(G36+G42+G46)</f>
        <v>770000</v>
      </c>
      <c r="I47" s="413"/>
      <c r="J47" s="465"/>
      <c r="K47" s="465"/>
      <c r="L47" s="465"/>
      <c r="M47" s="466"/>
      <c r="O47" s="488" t="str">
        <f t="shared" si="2"/>
        <v>ATIVO TOTAL</v>
      </c>
      <c r="P47" s="487">
        <f>+P46+P42+P36</f>
        <v>950</v>
      </c>
      <c r="Q47" s="489">
        <f t="shared" si="3"/>
        <v>100</v>
      </c>
      <c r="R47" s="487">
        <f>+R46+R42+R36</f>
        <v>9500</v>
      </c>
      <c r="S47" s="489">
        <f t="shared" si="1"/>
        <v>100</v>
      </c>
      <c r="T47" s="487">
        <f>+T46+T42+T36</f>
        <v>95000</v>
      </c>
      <c r="U47" s="489">
        <f t="shared" si="6"/>
        <v>100</v>
      </c>
      <c r="V47" s="487">
        <f>+V46+V42+V36</f>
        <v>770000</v>
      </c>
      <c r="W47" s="489">
        <f t="shared" si="8"/>
        <v>100</v>
      </c>
      <c r="AC47" s="998"/>
      <c r="AD47" s="999"/>
    </row>
    <row r="48" spans="2:30" x14ac:dyDescent="0.2">
      <c r="B48" s="491" t="s">
        <v>464</v>
      </c>
      <c r="C48" s="969" t="s">
        <v>465</v>
      </c>
      <c r="D48" s="470">
        <v>100</v>
      </c>
      <c r="E48" s="470">
        <v>1000</v>
      </c>
      <c r="F48" s="470">
        <v>10000</v>
      </c>
      <c r="G48" s="470">
        <v>100000</v>
      </c>
      <c r="I48" s="413"/>
      <c r="J48" s="465"/>
      <c r="K48" s="465"/>
      <c r="L48" s="465"/>
      <c r="M48" s="466"/>
      <c r="O48" s="471" t="str">
        <f t="shared" si="2"/>
        <v>EMPRÉSTIMOS E FINANCIAMENTO</v>
      </c>
      <c r="P48" s="470">
        <f t="shared" ref="P48:P61" si="10">IF(VALOR=1,D48/VLOOKUP(+$J$6,TABELA,2),IF(VALOR=2,D48/VLOOKUP(+$J$6,TABELA,3),D48/VLOOKUP($J$6,TABELA,2)))</f>
        <v>100</v>
      </c>
      <c r="Q48" s="472">
        <f>IF(P$77=0,FALSE(),P48/P$77*100)</f>
        <v>2.8050490883590462</v>
      </c>
      <c r="R48" s="473">
        <f t="shared" ref="R48:R68" si="11">IF(VALOR=1,E48/VLOOKUP(+$J$7,TABELA,2),IF(VALOR=2,E48/VLOOKUP(+$J$7,TABELA,3),E48/VLOOKUP($J$7,TABELA,2)))</f>
        <v>1000</v>
      </c>
      <c r="S48" s="472">
        <f>IF(R$77=0,FALSE(),R48/R$77*100)</f>
        <v>5.9171597633136095</v>
      </c>
      <c r="T48" s="473">
        <f t="shared" si="5"/>
        <v>10000</v>
      </c>
      <c r="U48" s="472">
        <f t="shared" ref="U48:U77" si="12">IF(T$77=0,FALSE(),T48/T$77*100)</f>
        <v>5.9171597633136095</v>
      </c>
      <c r="V48" s="473">
        <f t="shared" si="7"/>
        <v>100000</v>
      </c>
      <c r="W48" s="472">
        <f t="shared" ref="W48:W77" si="13">IF(V$77=0,FALSE(),V48/V$77*100)</f>
        <v>28.571428571428569</v>
      </c>
      <c r="AC48" s="998"/>
      <c r="AD48" s="999"/>
    </row>
    <row r="49" spans="2:30" x14ac:dyDescent="0.2">
      <c r="B49" s="491" t="s">
        <v>464</v>
      </c>
      <c r="C49" s="970" t="s">
        <v>466</v>
      </c>
      <c r="D49" s="474">
        <v>105</v>
      </c>
      <c r="E49" s="474">
        <v>1050</v>
      </c>
      <c r="F49" s="474">
        <v>10500</v>
      </c>
      <c r="G49" s="474"/>
      <c r="I49" s="413"/>
      <c r="J49" s="465"/>
      <c r="K49" s="465"/>
      <c r="L49" s="465"/>
      <c r="M49" s="466"/>
      <c r="O49" s="475" t="str">
        <f t="shared" si="2"/>
        <v>DEBENTURES</v>
      </c>
      <c r="P49" s="474">
        <f t="shared" si="10"/>
        <v>105</v>
      </c>
      <c r="Q49" s="476">
        <f t="shared" ref="Q49:S77" si="14">IF(P$77=0,FALSE(),P49/P$77*100)</f>
        <v>2.9453015427769986</v>
      </c>
      <c r="R49" s="477">
        <f t="shared" si="11"/>
        <v>1050</v>
      </c>
      <c r="S49" s="476">
        <f t="shared" si="14"/>
        <v>6.2130177514792901</v>
      </c>
      <c r="T49" s="477">
        <f t="shared" si="5"/>
        <v>10500</v>
      </c>
      <c r="U49" s="476">
        <f t="shared" si="12"/>
        <v>6.2130177514792901</v>
      </c>
      <c r="V49" s="477">
        <f t="shared" si="7"/>
        <v>0</v>
      </c>
      <c r="W49" s="476">
        <f t="shared" si="13"/>
        <v>0</v>
      </c>
      <c r="AC49" s="998"/>
      <c r="AD49" s="999"/>
    </row>
    <row r="50" spans="2:30" x14ac:dyDescent="0.2">
      <c r="B50" s="491" t="s">
        <v>464</v>
      </c>
      <c r="C50" s="970"/>
      <c r="D50" s="474"/>
      <c r="E50" s="474"/>
      <c r="F50" s="474"/>
      <c r="G50" s="474"/>
      <c r="I50" s="413"/>
      <c r="J50" s="465"/>
      <c r="K50" s="465"/>
      <c r="L50" s="465"/>
      <c r="M50" s="466"/>
      <c r="O50" s="475">
        <f t="shared" si="2"/>
        <v>0</v>
      </c>
      <c r="P50" s="474">
        <f t="shared" si="10"/>
        <v>0</v>
      </c>
      <c r="Q50" s="476">
        <f t="shared" si="14"/>
        <v>0</v>
      </c>
      <c r="R50" s="477">
        <f t="shared" si="11"/>
        <v>0</v>
      </c>
      <c r="S50" s="476">
        <f t="shared" si="14"/>
        <v>0</v>
      </c>
      <c r="T50" s="477">
        <f t="shared" si="5"/>
        <v>0</v>
      </c>
      <c r="U50" s="476">
        <f t="shared" si="12"/>
        <v>0</v>
      </c>
      <c r="V50" s="477">
        <f t="shared" si="7"/>
        <v>0</v>
      </c>
      <c r="W50" s="476">
        <f t="shared" si="13"/>
        <v>0</v>
      </c>
      <c r="AC50" s="998"/>
      <c r="AD50" s="999"/>
    </row>
    <row r="51" spans="2:30" x14ac:dyDescent="0.2">
      <c r="B51" s="491"/>
      <c r="C51" s="970" t="s">
        <v>467</v>
      </c>
      <c r="D51" s="474">
        <v>110</v>
      </c>
      <c r="E51" s="474">
        <v>1100</v>
      </c>
      <c r="F51" s="474">
        <v>11000</v>
      </c>
      <c r="G51" s="474">
        <v>110000</v>
      </c>
      <c r="I51" s="413"/>
      <c r="J51" s="465"/>
      <c r="K51" s="465"/>
      <c r="L51" s="465"/>
      <c r="M51" s="466"/>
      <c r="O51" s="475" t="str">
        <f t="shared" si="2"/>
        <v>PARTES RELACIONADAS</v>
      </c>
      <c r="P51" s="474">
        <f t="shared" si="10"/>
        <v>110</v>
      </c>
      <c r="Q51" s="476">
        <f t="shared" si="14"/>
        <v>3.0855539971949506</v>
      </c>
      <c r="R51" s="477">
        <f>IF(VALOR=1,E51/VLOOKUP(+$J$7,TABELA,2),IF(VALOR=2,E51/VLOOKUP(+$J$7,TABELA,3),E51/VLOOKUP($J$7,TABELA,2)))</f>
        <v>1100</v>
      </c>
      <c r="S51" s="476">
        <f t="shared" si="14"/>
        <v>6.5088757396449708</v>
      </c>
      <c r="T51" s="477">
        <f>IF(VALOR=1,F51/VLOOKUP(+$J$8,TABELA,2),IF(VALOR=2,F51/VLOOKUP(+$J$8,TABELA,3),F51/VLOOKUP($J$8,TABELA,2)))</f>
        <v>11000</v>
      </c>
      <c r="U51" s="476">
        <f t="shared" si="12"/>
        <v>6.5088757396449708</v>
      </c>
      <c r="V51" s="477">
        <f t="shared" si="7"/>
        <v>110000</v>
      </c>
      <c r="W51" s="476">
        <f t="shared" si="13"/>
        <v>31.428571428571427</v>
      </c>
      <c r="AC51" s="998"/>
      <c r="AD51" s="999"/>
    </row>
    <row r="52" spans="2:30" x14ac:dyDescent="0.2">
      <c r="B52" s="491" t="s">
        <v>464</v>
      </c>
      <c r="C52" s="970" t="s">
        <v>887</v>
      </c>
      <c r="D52" s="474">
        <v>115</v>
      </c>
      <c r="E52" s="474">
        <v>1150</v>
      </c>
      <c r="F52" s="474">
        <v>11500</v>
      </c>
      <c r="G52" s="474"/>
      <c r="I52" s="413"/>
      <c r="J52" s="465"/>
      <c r="K52" s="465"/>
      <c r="L52" s="465"/>
      <c r="M52" s="466"/>
      <c r="O52" s="475" t="str">
        <f t="shared" si="2"/>
        <v>EMPRÉSTIMO (CIRCULANTE DO LONGO PRAZO)</v>
      </c>
      <c r="P52" s="474">
        <f t="shared" si="10"/>
        <v>115</v>
      </c>
      <c r="Q52" s="476">
        <f t="shared" si="14"/>
        <v>3.225806451612903</v>
      </c>
      <c r="R52" s="477">
        <f t="shared" si="11"/>
        <v>1150</v>
      </c>
      <c r="S52" s="476">
        <f t="shared" si="14"/>
        <v>6.8047337278106506</v>
      </c>
      <c r="T52" s="477">
        <f t="shared" si="5"/>
        <v>11500</v>
      </c>
      <c r="U52" s="476">
        <f t="shared" si="12"/>
        <v>6.8047337278106506</v>
      </c>
      <c r="V52" s="477">
        <f t="shared" si="7"/>
        <v>0</v>
      </c>
      <c r="W52" s="476">
        <f t="shared" si="13"/>
        <v>0</v>
      </c>
      <c r="AC52" s="998"/>
      <c r="AD52" s="999"/>
    </row>
    <row r="53" spans="2:30" x14ac:dyDescent="0.2">
      <c r="C53" s="970" t="s">
        <v>468</v>
      </c>
      <c r="D53" s="474">
        <v>120</v>
      </c>
      <c r="E53" s="474">
        <v>1200</v>
      </c>
      <c r="F53" s="474">
        <v>12000</v>
      </c>
      <c r="G53" s="474"/>
      <c r="I53" s="413"/>
      <c r="J53" s="465"/>
      <c r="K53" s="465"/>
      <c r="L53" s="465"/>
      <c r="M53" s="466"/>
      <c r="O53" s="475" t="str">
        <f t="shared" si="2"/>
        <v>FORNECEDORES</v>
      </c>
      <c r="P53" s="474">
        <f t="shared" si="10"/>
        <v>120</v>
      </c>
      <c r="Q53" s="476">
        <f t="shared" si="14"/>
        <v>3.3660589060308554</v>
      </c>
      <c r="R53" s="477">
        <f t="shared" si="11"/>
        <v>1200</v>
      </c>
      <c r="S53" s="476">
        <f t="shared" si="14"/>
        <v>7.1005917159763312</v>
      </c>
      <c r="T53" s="477">
        <f t="shared" si="5"/>
        <v>12000</v>
      </c>
      <c r="U53" s="476">
        <f t="shared" si="12"/>
        <v>7.1005917159763312</v>
      </c>
      <c r="V53" s="477">
        <f t="shared" si="7"/>
        <v>0</v>
      </c>
      <c r="W53" s="476">
        <f t="shared" si="13"/>
        <v>0</v>
      </c>
      <c r="AC53" s="998"/>
      <c r="AD53" s="999"/>
    </row>
    <row r="54" spans="2:30" ht="12.75" customHeight="1" x14ac:dyDescent="0.2">
      <c r="C54" s="970" t="s">
        <v>897</v>
      </c>
      <c r="D54" s="474">
        <v>125</v>
      </c>
      <c r="E54" s="474">
        <v>1250</v>
      </c>
      <c r="F54" s="474">
        <v>12500</v>
      </c>
      <c r="G54" s="474"/>
      <c r="I54" s="413"/>
      <c r="J54" s="465"/>
      <c r="K54" s="465"/>
      <c r="L54" s="465"/>
      <c r="M54" s="466"/>
      <c r="O54" s="475" t="str">
        <f t="shared" si="2"/>
        <v>SALARIOS E ENCARGOS SOCIAIS</v>
      </c>
      <c r="P54" s="474">
        <f t="shared" si="10"/>
        <v>125</v>
      </c>
      <c r="Q54" s="476">
        <f t="shared" si="14"/>
        <v>3.5063113604488079</v>
      </c>
      <c r="R54" s="477">
        <f t="shared" si="11"/>
        <v>1250</v>
      </c>
      <c r="S54" s="476">
        <f t="shared" si="14"/>
        <v>7.3964497041420119</v>
      </c>
      <c r="T54" s="477">
        <f t="shared" si="5"/>
        <v>12500</v>
      </c>
      <c r="U54" s="476">
        <f t="shared" si="12"/>
        <v>7.3964497041420119</v>
      </c>
      <c r="V54" s="477">
        <f t="shared" si="7"/>
        <v>0</v>
      </c>
      <c r="W54" s="476">
        <f t="shared" si="13"/>
        <v>0</v>
      </c>
      <c r="AC54" s="1000" t="s">
        <v>418</v>
      </c>
      <c r="AD54" s="1001"/>
    </row>
    <row r="55" spans="2:30" x14ac:dyDescent="0.2">
      <c r="C55" s="970" t="s">
        <v>898</v>
      </c>
      <c r="D55" s="474">
        <v>130</v>
      </c>
      <c r="E55" s="474">
        <v>1300</v>
      </c>
      <c r="F55" s="474">
        <v>13000</v>
      </c>
      <c r="G55" s="474"/>
      <c r="I55" s="413"/>
      <c r="J55" s="465"/>
      <c r="K55" s="465"/>
      <c r="L55" s="465"/>
      <c r="M55" s="466"/>
      <c r="O55" s="475" t="str">
        <f t="shared" si="2"/>
        <v>OBRIGAÇÕES TRIBUTÁRIAS</v>
      </c>
      <c r="P55" s="474">
        <f t="shared" si="10"/>
        <v>130</v>
      </c>
      <c r="Q55" s="476">
        <f t="shared" si="14"/>
        <v>3.6465638148667603</v>
      </c>
      <c r="R55" s="477">
        <f t="shared" si="11"/>
        <v>1300</v>
      </c>
      <c r="S55" s="476">
        <f t="shared" si="14"/>
        <v>7.6923076923076925</v>
      </c>
      <c r="T55" s="477">
        <f t="shared" si="5"/>
        <v>13000</v>
      </c>
      <c r="U55" s="476">
        <f t="shared" si="12"/>
        <v>7.6923076923076925</v>
      </c>
      <c r="V55" s="477">
        <f t="shared" si="7"/>
        <v>0</v>
      </c>
      <c r="W55" s="476">
        <f t="shared" si="13"/>
        <v>0</v>
      </c>
      <c r="AC55" s="1002"/>
      <c r="AD55" s="1003"/>
    </row>
    <row r="56" spans="2:30" x14ac:dyDescent="0.2">
      <c r="C56" s="970" t="s">
        <v>453</v>
      </c>
      <c r="D56" s="474">
        <v>135</v>
      </c>
      <c r="E56" s="474">
        <v>1350</v>
      </c>
      <c r="F56" s="474">
        <v>13500</v>
      </c>
      <c r="G56" s="474"/>
      <c r="I56" s="413"/>
      <c r="J56" s="465"/>
      <c r="K56" s="465"/>
      <c r="L56" s="465"/>
      <c r="M56" s="466"/>
      <c r="O56" s="475" t="str">
        <f t="shared" si="2"/>
        <v>IR E CS DIFERIDOS</v>
      </c>
      <c r="P56" s="474">
        <f t="shared" si="10"/>
        <v>135</v>
      </c>
      <c r="Q56" s="476">
        <f t="shared" si="14"/>
        <v>3.7868162692847123</v>
      </c>
      <c r="R56" s="477">
        <f t="shared" si="11"/>
        <v>1350</v>
      </c>
      <c r="S56" s="476">
        <f t="shared" si="14"/>
        <v>7.9881656804733732</v>
      </c>
      <c r="T56" s="477">
        <f t="shared" si="5"/>
        <v>13500</v>
      </c>
      <c r="U56" s="476">
        <f t="shared" si="12"/>
        <v>7.9881656804733732</v>
      </c>
      <c r="V56" s="477">
        <f t="shared" si="7"/>
        <v>0</v>
      </c>
      <c r="W56" s="476">
        <f t="shared" si="13"/>
        <v>0</v>
      </c>
      <c r="AC56" s="996"/>
      <c r="AD56" s="997"/>
    </row>
    <row r="57" spans="2:30" x14ac:dyDescent="0.2">
      <c r="B57" s="977" t="s">
        <v>450</v>
      </c>
      <c r="C57" s="970" t="s">
        <v>469</v>
      </c>
      <c r="D57" s="474">
        <v>140</v>
      </c>
      <c r="E57" s="474">
        <v>1400</v>
      </c>
      <c r="F57" s="474">
        <v>14000</v>
      </c>
      <c r="G57" s="474">
        <v>140000</v>
      </c>
      <c r="I57" s="413"/>
      <c r="J57" s="465"/>
      <c r="K57" s="465"/>
      <c r="L57" s="465"/>
      <c r="M57" s="466"/>
      <c r="O57" s="475" t="str">
        <f t="shared" si="2"/>
        <v>DIVIDENDOS</v>
      </c>
      <c r="P57" s="474">
        <f t="shared" si="10"/>
        <v>140</v>
      </c>
      <c r="Q57" s="476">
        <f t="shared" si="14"/>
        <v>3.9270687237026647</v>
      </c>
      <c r="R57" s="477">
        <f t="shared" si="11"/>
        <v>1400</v>
      </c>
      <c r="S57" s="476">
        <f t="shared" si="14"/>
        <v>8.2840236686390547</v>
      </c>
      <c r="T57" s="477">
        <f t="shared" si="5"/>
        <v>14000</v>
      </c>
      <c r="U57" s="476">
        <f t="shared" si="12"/>
        <v>8.2840236686390547</v>
      </c>
      <c r="V57" s="477">
        <f t="shared" si="7"/>
        <v>140000</v>
      </c>
      <c r="W57" s="476">
        <f t="shared" si="13"/>
        <v>40</v>
      </c>
      <c r="AC57" s="998"/>
      <c r="AD57" s="999"/>
    </row>
    <row r="58" spans="2:30" x14ac:dyDescent="0.2">
      <c r="B58" s="978" t="s">
        <v>452</v>
      </c>
      <c r="C58" s="971" t="s">
        <v>912</v>
      </c>
      <c r="D58" s="474">
        <v>145</v>
      </c>
      <c r="E58" s="474">
        <v>1450</v>
      </c>
      <c r="F58" s="474">
        <v>14500</v>
      </c>
      <c r="G58" s="474"/>
      <c r="I58" s="413"/>
      <c r="J58" s="465"/>
      <c r="K58" s="465"/>
      <c r="L58" s="465"/>
      <c r="M58" s="466"/>
      <c r="O58" s="475" t="str">
        <f t="shared" si="2"/>
        <v>DERIVATIVOS</v>
      </c>
      <c r="P58" s="474">
        <f t="shared" si="10"/>
        <v>145</v>
      </c>
      <c r="Q58" s="476">
        <f t="shared" si="14"/>
        <v>4.0673211781206167</v>
      </c>
      <c r="R58" s="477">
        <f t="shared" si="11"/>
        <v>1450</v>
      </c>
      <c r="S58" s="476">
        <f t="shared" si="14"/>
        <v>8.5798816568047336</v>
      </c>
      <c r="T58" s="477">
        <f t="shared" si="5"/>
        <v>14500</v>
      </c>
      <c r="U58" s="476">
        <f t="shared" si="12"/>
        <v>8.5798816568047336</v>
      </c>
      <c r="V58" s="477">
        <f t="shared" si="7"/>
        <v>0</v>
      </c>
      <c r="W58" s="476">
        <f t="shared" si="13"/>
        <v>0</v>
      </c>
      <c r="AC58" s="998"/>
      <c r="AD58" s="999"/>
    </row>
    <row r="59" spans="2:30" x14ac:dyDescent="0.2">
      <c r="B59" s="979">
        <v>1</v>
      </c>
      <c r="C59" s="970" t="s">
        <v>900</v>
      </c>
      <c r="D59" s="474">
        <v>150</v>
      </c>
      <c r="E59" s="474">
        <v>1500</v>
      </c>
      <c r="F59" s="474">
        <v>15000</v>
      </c>
      <c r="G59" s="474"/>
      <c r="I59" s="413"/>
      <c r="J59" s="465"/>
      <c r="K59" s="465"/>
      <c r="L59" s="465"/>
      <c r="M59" s="466"/>
      <c r="O59" s="475" t="str">
        <f t="shared" si="2"/>
        <v>ADIANTAMENTO DE CLIENTES</v>
      </c>
      <c r="P59" s="474">
        <f t="shared" si="10"/>
        <v>150</v>
      </c>
      <c r="Q59" s="476">
        <f t="shared" si="14"/>
        <v>4.2075736325385691</v>
      </c>
      <c r="R59" s="477">
        <f t="shared" si="11"/>
        <v>1500</v>
      </c>
      <c r="S59" s="476">
        <f t="shared" si="14"/>
        <v>8.8757396449704142</v>
      </c>
      <c r="T59" s="477">
        <f t="shared" si="5"/>
        <v>15000</v>
      </c>
      <c r="U59" s="476">
        <f t="shared" si="12"/>
        <v>8.8757396449704142</v>
      </c>
      <c r="V59" s="477">
        <f t="shared" si="7"/>
        <v>0</v>
      </c>
      <c r="W59" s="476">
        <f t="shared" si="13"/>
        <v>0</v>
      </c>
      <c r="AC59" s="998"/>
      <c r="AD59" s="999"/>
    </row>
    <row r="60" spans="2:30" x14ac:dyDescent="0.2">
      <c r="B60" s="979">
        <f>IF(D60+E60+F60+G60=0,0,1)</f>
        <v>1</v>
      </c>
      <c r="C60" s="971" t="s">
        <v>901</v>
      </c>
      <c r="D60" s="474">
        <v>155</v>
      </c>
      <c r="E60" s="474">
        <v>1550</v>
      </c>
      <c r="F60" s="474">
        <v>15500</v>
      </c>
      <c r="G60" s="474"/>
      <c r="I60" s="413"/>
      <c r="J60" s="465"/>
      <c r="K60" s="465"/>
      <c r="L60" s="465"/>
      <c r="M60" s="466"/>
      <c r="O60" s="475" t="str">
        <f t="shared" si="2"/>
        <v>PROVISÃO</v>
      </c>
      <c r="P60" s="474">
        <f t="shared" si="10"/>
        <v>155</v>
      </c>
      <c r="Q60" s="476">
        <f t="shared" si="14"/>
        <v>4.3478260869565215</v>
      </c>
      <c r="R60" s="477">
        <f t="shared" si="11"/>
        <v>1550</v>
      </c>
      <c r="S60" s="476">
        <f t="shared" si="14"/>
        <v>9.1715976331360949</v>
      </c>
      <c r="T60" s="477">
        <f t="shared" si="5"/>
        <v>15500</v>
      </c>
      <c r="U60" s="476">
        <f t="shared" si="12"/>
        <v>9.1715976331360949</v>
      </c>
      <c r="V60" s="477">
        <f t="shared" si="7"/>
        <v>0</v>
      </c>
      <c r="W60" s="476">
        <f t="shared" si="13"/>
        <v>0</v>
      </c>
      <c r="AC60" s="998"/>
      <c r="AD60" s="999"/>
    </row>
    <row r="61" spans="2:30" x14ac:dyDescent="0.2">
      <c r="B61" s="1037" t="s">
        <v>470</v>
      </c>
      <c r="C61" s="972" t="s">
        <v>471</v>
      </c>
      <c r="D61" s="482">
        <v>160</v>
      </c>
      <c r="E61" s="482">
        <v>1600</v>
      </c>
      <c r="F61" s="482">
        <v>16000</v>
      </c>
      <c r="G61" s="482"/>
      <c r="I61" s="413"/>
      <c r="J61" s="465"/>
      <c r="K61" s="465"/>
      <c r="L61" s="465"/>
      <c r="M61" s="466"/>
      <c r="O61" s="483" t="str">
        <f t="shared" si="2"/>
        <v>OUTROS</v>
      </c>
      <c r="P61" s="482">
        <f t="shared" si="10"/>
        <v>160</v>
      </c>
      <c r="Q61" s="484">
        <f t="shared" si="14"/>
        <v>4.4880785413744739</v>
      </c>
      <c r="R61" s="485">
        <f t="shared" si="11"/>
        <v>1600</v>
      </c>
      <c r="S61" s="484">
        <f t="shared" si="14"/>
        <v>9.4674556213017755</v>
      </c>
      <c r="T61" s="485">
        <f t="shared" si="5"/>
        <v>16000</v>
      </c>
      <c r="U61" s="484">
        <f t="shared" si="12"/>
        <v>9.4674556213017755</v>
      </c>
      <c r="V61" s="485">
        <f t="shared" si="7"/>
        <v>0</v>
      </c>
      <c r="W61" s="484">
        <f t="shared" si="13"/>
        <v>0</v>
      </c>
      <c r="AC61" s="998"/>
      <c r="AD61" s="999"/>
    </row>
    <row r="62" spans="2:30" x14ac:dyDescent="0.2">
      <c r="B62" s="1038"/>
      <c r="C62" s="486" t="s">
        <v>472</v>
      </c>
      <c r="D62" s="487">
        <f>SUM(D48:D61)</f>
        <v>1690</v>
      </c>
      <c r="E62" s="487">
        <f>SUM(E48:E61)</f>
        <v>16900</v>
      </c>
      <c r="F62" s="487">
        <f>SUM(F48:F61)</f>
        <v>169000</v>
      </c>
      <c r="G62" s="487">
        <f>SUM(G48:G61)</f>
        <v>350000</v>
      </c>
      <c r="I62" s="413"/>
      <c r="J62" s="465"/>
      <c r="K62" s="465"/>
      <c r="L62" s="465"/>
      <c r="M62" s="466"/>
      <c r="O62" s="488" t="str">
        <f t="shared" si="2"/>
        <v>PASSIVO CIRCULANTE</v>
      </c>
      <c r="P62" s="487">
        <f>SUM(P48:P61)</f>
        <v>1690</v>
      </c>
      <c r="Q62" s="489">
        <f t="shared" si="14"/>
        <v>47.405329593267879</v>
      </c>
      <c r="R62" s="487">
        <f>SUM(R48:R61)</f>
        <v>16900</v>
      </c>
      <c r="S62" s="489">
        <f t="shared" si="14"/>
        <v>100</v>
      </c>
      <c r="T62" s="487">
        <f>SUM(T48:T61)</f>
        <v>169000</v>
      </c>
      <c r="U62" s="489">
        <f t="shared" si="12"/>
        <v>100</v>
      </c>
      <c r="V62" s="487">
        <f>SUM(V48:V61)</f>
        <v>350000</v>
      </c>
      <c r="W62" s="489">
        <f t="shared" si="13"/>
        <v>100</v>
      </c>
      <c r="AC62" s="998"/>
      <c r="AD62" s="999"/>
    </row>
    <row r="63" spans="2:30" x14ac:dyDescent="0.2">
      <c r="C63" s="969" t="s">
        <v>465</v>
      </c>
      <c r="D63" s="470">
        <v>165</v>
      </c>
      <c r="E63" s="470"/>
      <c r="F63" s="470"/>
      <c r="G63" s="470"/>
      <c r="I63" s="413"/>
      <c r="J63" s="465"/>
      <c r="K63" s="465"/>
      <c r="L63" s="465"/>
      <c r="M63" s="466"/>
      <c r="O63" s="471" t="str">
        <f t="shared" si="2"/>
        <v>EMPRÉSTIMOS E FINANCIAMENTO</v>
      </c>
      <c r="P63" s="470">
        <f t="shared" ref="P63:P68" si="15">IF(VALOR=1,D63/VLOOKUP(+$J$6,TABELA,2),IF(VALOR=2,D63/VLOOKUP(+$J$6,TABELA,3),D63/VLOOKUP($J$6,TABELA,2)))</f>
        <v>165</v>
      </c>
      <c r="Q63" s="472">
        <f t="shared" si="14"/>
        <v>4.6283309957924264</v>
      </c>
      <c r="R63" s="473">
        <f t="shared" si="11"/>
        <v>0</v>
      </c>
      <c r="S63" s="472">
        <f t="shared" si="14"/>
        <v>0</v>
      </c>
      <c r="T63" s="473">
        <f t="shared" si="5"/>
        <v>0</v>
      </c>
      <c r="U63" s="472">
        <f t="shared" si="12"/>
        <v>0</v>
      </c>
      <c r="V63" s="473">
        <f t="shared" si="7"/>
        <v>0</v>
      </c>
      <c r="W63" s="472">
        <f t="shared" si="13"/>
        <v>0</v>
      </c>
      <c r="AC63" s="998"/>
      <c r="AD63" s="999"/>
    </row>
    <row r="64" spans="2:30" ht="12.75" customHeight="1" x14ac:dyDescent="0.2">
      <c r="C64" s="970" t="s">
        <v>466</v>
      </c>
      <c r="D64" s="474">
        <v>170</v>
      </c>
      <c r="E64" s="474"/>
      <c r="F64" s="474"/>
      <c r="G64" s="474"/>
      <c r="I64" s="413"/>
      <c r="J64" s="465"/>
      <c r="K64" s="465"/>
      <c r="L64" s="465"/>
      <c r="M64" s="466"/>
      <c r="O64" s="475" t="str">
        <f t="shared" si="2"/>
        <v>DEBENTURES</v>
      </c>
      <c r="P64" s="474">
        <f t="shared" si="15"/>
        <v>170</v>
      </c>
      <c r="Q64" s="476">
        <f t="shared" si="14"/>
        <v>4.7685834502103788</v>
      </c>
      <c r="R64" s="477">
        <f t="shared" si="11"/>
        <v>0</v>
      </c>
      <c r="S64" s="476">
        <f t="shared" si="14"/>
        <v>0</v>
      </c>
      <c r="T64" s="477">
        <f t="shared" si="5"/>
        <v>0</v>
      </c>
      <c r="U64" s="476">
        <f t="shared" si="12"/>
        <v>0</v>
      </c>
      <c r="V64" s="477">
        <f t="shared" si="7"/>
        <v>0</v>
      </c>
      <c r="W64" s="476">
        <f t="shared" si="13"/>
        <v>0</v>
      </c>
      <c r="AC64" s="1000" t="s">
        <v>418</v>
      </c>
      <c r="AD64" s="1001"/>
    </row>
    <row r="65" spans="2:30" x14ac:dyDescent="0.2">
      <c r="B65" s="491" t="s">
        <v>473</v>
      </c>
      <c r="C65" s="971" t="s">
        <v>908</v>
      </c>
      <c r="D65" s="474">
        <v>175</v>
      </c>
      <c r="E65" s="474"/>
      <c r="F65" s="474"/>
      <c r="G65" s="474"/>
      <c r="I65" s="413"/>
      <c r="J65" s="465"/>
      <c r="K65" s="465"/>
      <c r="L65" s="465"/>
      <c r="M65" s="466"/>
      <c r="O65" s="475" t="str">
        <f t="shared" si="2"/>
        <v>ADIANTAMENTO</v>
      </c>
      <c r="P65" s="474">
        <f t="shared" si="15"/>
        <v>175</v>
      </c>
      <c r="Q65" s="476">
        <f t="shared" si="14"/>
        <v>4.9088359046283312</v>
      </c>
      <c r="R65" s="477">
        <f t="shared" si="11"/>
        <v>0</v>
      </c>
      <c r="S65" s="476">
        <f t="shared" si="14"/>
        <v>0</v>
      </c>
      <c r="T65" s="477">
        <f t="shared" si="5"/>
        <v>0</v>
      </c>
      <c r="U65" s="476">
        <f t="shared" si="12"/>
        <v>0</v>
      </c>
      <c r="V65" s="477">
        <f t="shared" si="7"/>
        <v>0</v>
      </c>
      <c r="W65" s="476">
        <f t="shared" si="13"/>
        <v>0</v>
      </c>
      <c r="AC65" s="1002"/>
      <c r="AD65" s="1003"/>
    </row>
    <row r="66" spans="2:30" x14ac:dyDescent="0.2">
      <c r="B66" s="481" t="s">
        <v>473</v>
      </c>
      <c r="C66" s="971" t="s">
        <v>901</v>
      </c>
      <c r="D66" s="474">
        <v>180</v>
      </c>
      <c r="E66" s="474"/>
      <c r="F66" s="474"/>
      <c r="G66" s="474"/>
      <c r="I66" s="413"/>
      <c r="J66" s="465"/>
      <c r="K66" s="465"/>
      <c r="L66" s="465"/>
      <c r="M66" s="466"/>
      <c r="O66" s="475" t="str">
        <f t="shared" si="2"/>
        <v>PROVISÃO</v>
      </c>
      <c r="P66" s="474">
        <f t="shared" si="15"/>
        <v>180</v>
      </c>
      <c r="Q66" s="476">
        <f t="shared" si="14"/>
        <v>5.0490883590462836</v>
      </c>
      <c r="R66" s="477">
        <f t="shared" si="11"/>
        <v>0</v>
      </c>
      <c r="S66" s="476">
        <f t="shared" si="14"/>
        <v>0</v>
      </c>
      <c r="T66" s="477">
        <f t="shared" si="5"/>
        <v>0</v>
      </c>
      <c r="U66" s="476">
        <f t="shared" si="12"/>
        <v>0</v>
      </c>
      <c r="V66" s="477">
        <f t="shared" si="7"/>
        <v>0</v>
      </c>
      <c r="W66" s="476">
        <f t="shared" si="13"/>
        <v>0</v>
      </c>
      <c r="AC66" s="996"/>
      <c r="AD66" s="997"/>
    </row>
    <row r="67" spans="2:30" x14ac:dyDescent="0.2">
      <c r="B67" s="491" t="s">
        <v>474</v>
      </c>
      <c r="C67" s="970" t="s">
        <v>899</v>
      </c>
      <c r="D67" s="474">
        <v>185</v>
      </c>
      <c r="E67" s="474"/>
      <c r="F67" s="474"/>
      <c r="G67" s="474"/>
      <c r="I67" s="413"/>
      <c r="J67" s="465"/>
      <c r="K67" s="465"/>
      <c r="L67" s="465"/>
      <c r="M67" s="466"/>
      <c r="O67" s="475" t="str">
        <f t="shared" si="2"/>
        <v>CONCESSÕES A PAGAR</v>
      </c>
      <c r="P67" s="474">
        <f t="shared" si="15"/>
        <v>185</v>
      </c>
      <c r="Q67" s="476">
        <f t="shared" si="14"/>
        <v>5.1893408134642351</v>
      </c>
      <c r="R67" s="477">
        <f t="shared" si="11"/>
        <v>0</v>
      </c>
      <c r="S67" s="476">
        <f t="shared" si="14"/>
        <v>0</v>
      </c>
      <c r="T67" s="477">
        <f t="shared" si="5"/>
        <v>0</v>
      </c>
      <c r="U67" s="476">
        <f t="shared" si="12"/>
        <v>0</v>
      </c>
      <c r="V67" s="477">
        <f t="shared" si="7"/>
        <v>0</v>
      </c>
      <c r="W67" s="476">
        <f t="shared" si="13"/>
        <v>0</v>
      </c>
      <c r="AC67" s="998"/>
      <c r="AD67" s="999"/>
    </row>
    <row r="68" spans="2:30" x14ac:dyDescent="0.2">
      <c r="C68" s="972" t="s">
        <v>471</v>
      </c>
      <c r="D68" s="482">
        <v>190</v>
      </c>
      <c r="E68" s="482"/>
      <c r="F68" s="482"/>
      <c r="G68" s="482"/>
      <c r="I68" s="413"/>
      <c r="J68" s="465"/>
      <c r="K68" s="465"/>
      <c r="L68" s="465"/>
      <c r="M68" s="466"/>
      <c r="O68" s="483" t="str">
        <f t="shared" si="2"/>
        <v>OUTROS</v>
      </c>
      <c r="P68" s="482">
        <f t="shared" si="15"/>
        <v>190</v>
      </c>
      <c r="Q68" s="484">
        <f t="shared" si="14"/>
        <v>5.3295932678821876</v>
      </c>
      <c r="R68" s="485">
        <f t="shared" si="11"/>
        <v>0</v>
      </c>
      <c r="S68" s="484">
        <f t="shared" si="14"/>
        <v>0</v>
      </c>
      <c r="T68" s="485">
        <f t="shared" si="5"/>
        <v>0</v>
      </c>
      <c r="U68" s="484">
        <f t="shared" si="12"/>
        <v>0</v>
      </c>
      <c r="V68" s="485">
        <f t="shared" si="7"/>
        <v>0</v>
      </c>
      <c r="W68" s="484">
        <f t="shared" si="13"/>
        <v>0</v>
      </c>
      <c r="AC68" s="998"/>
      <c r="AD68" s="999"/>
    </row>
    <row r="69" spans="2:30" x14ac:dyDescent="0.2">
      <c r="C69" s="486" t="s">
        <v>475</v>
      </c>
      <c r="D69" s="487">
        <f>SUM(D63:D68)</f>
        <v>1065</v>
      </c>
      <c r="E69" s="487">
        <f>SUM(E63:E68)</f>
        <v>0</v>
      </c>
      <c r="F69" s="487">
        <f>SUM(F63:F68)</f>
        <v>0</v>
      </c>
      <c r="G69" s="487">
        <f>SUM(G63:G68)</f>
        <v>0</v>
      </c>
      <c r="I69" s="413"/>
      <c r="J69" s="465"/>
      <c r="K69" s="465"/>
      <c r="L69" s="465"/>
      <c r="M69" s="466"/>
      <c r="O69" s="488" t="str">
        <f t="shared" si="2"/>
        <v>PASSIVO NÃO CIRCULANTE</v>
      </c>
      <c r="P69" s="487">
        <f>SUM(P63:P68)</f>
        <v>1065</v>
      </c>
      <c r="Q69" s="489">
        <f t="shared" si="14"/>
        <v>29.873772791023846</v>
      </c>
      <c r="R69" s="487">
        <f>SUM(R63:R68)</f>
        <v>0</v>
      </c>
      <c r="S69" s="489">
        <f t="shared" si="14"/>
        <v>0</v>
      </c>
      <c r="T69" s="487">
        <f>SUM(T63:T68)</f>
        <v>0</v>
      </c>
      <c r="U69" s="489">
        <f t="shared" si="12"/>
        <v>0</v>
      </c>
      <c r="V69" s="487">
        <f>SUM(V63:V68)</f>
        <v>0</v>
      </c>
      <c r="W69" s="489">
        <f t="shared" si="13"/>
        <v>0</v>
      </c>
      <c r="AC69" s="998"/>
      <c r="AD69" s="999"/>
    </row>
    <row r="70" spans="2:30" x14ac:dyDescent="0.2">
      <c r="C70" s="486" t="s">
        <v>476</v>
      </c>
      <c r="D70" s="487">
        <f>(D62+D69)</f>
        <v>2755</v>
      </c>
      <c r="E70" s="487">
        <f>(E62+E69)</f>
        <v>16900</v>
      </c>
      <c r="F70" s="487">
        <f>(F62+F69)</f>
        <v>169000</v>
      </c>
      <c r="G70" s="487">
        <f>(G62+G69)</f>
        <v>350000</v>
      </c>
      <c r="I70" s="413"/>
      <c r="J70" s="465"/>
      <c r="K70" s="465"/>
      <c r="L70" s="465"/>
      <c r="M70" s="466"/>
      <c r="O70" s="488" t="str">
        <f t="shared" si="2"/>
        <v>PASSIVO TOTAL</v>
      </c>
      <c r="P70" s="487">
        <f>+P69+P62</f>
        <v>2755</v>
      </c>
      <c r="Q70" s="489">
        <f t="shared" si="14"/>
        <v>77.279102384291718</v>
      </c>
      <c r="R70" s="487">
        <f>+R69+R62</f>
        <v>16900</v>
      </c>
      <c r="S70" s="489">
        <f t="shared" si="14"/>
        <v>100</v>
      </c>
      <c r="T70" s="487">
        <f>+T69+T62</f>
        <v>169000</v>
      </c>
      <c r="U70" s="489">
        <f t="shared" si="12"/>
        <v>100</v>
      </c>
      <c r="V70" s="487">
        <f>+V69+V62</f>
        <v>350000</v>
      </c>
      <c r="W70" s="489">
        <f t="shared" si="13"/>
        <v>100</v>
      </c>
      <c r="AC70" s="998"/>
      <c r="AD70" s="999"/>
    </row>
    <row r="71" spans="2:30" x14ac:dyDescent="0.2">
      <c r="C71" s="970"/>
      <c r="D71" s="470"/>
      <c r="E71" s="470"/>
      <c r="F71" s="470"/>
      <c r="G71" s="470"/>
      <c r="I71" s="413"/>
      <c r="J71" s="465"/>
      <c r="K71" s="465"/>
      <c r="L71" s="465"/>
      <c r="M71" s="466"/>
      <c r="O71" s="471">
        <f t="shared" si="2"/>
        <v>0</v>
      </c>
      <c r="P71" s="470">
        <f>IF(VALOR=1,D71/VLOOKUP(+$J$6,TABELA,2),IF(VALOR=2,D71/VLOOKUP(+$J$6,TABELA,3),D71/VLOOKUP($J$6,TABELA,2)))</f>
        <v>0</v>
      </c>
      <c r="Q71" s="490">
        <f t="shared" si="14"/>
        <v>0</v>
      </c>
      <c r="R71" s="470">
        <f>IF(VALOR=1,E71/VLOOKUP(+$J$7,TABELA,2),IF(VALOR=2,E71/VLOOKUP(+$J$7,TABELA,3),E71/VLOOKUP($J$7,TABELA,2)))</f>
        <v>0</v>
      </c>
      <c r="S71" s="490">
        <f t="shared" si="14"/>
        <v>0</v>
      </c>
      <c r="T71" s="470">
        <f t="shared" si="5"/>
        <v>0</v>
      </c>
      <c r="U71" s="490">
        <f t="shared" si="12"/>
        <v>0</v>
      </c>
      <c r="V71" s="470">
        <f t="shared" si="7"/>
        <v>0</v>
      </c>
      <c r="W71" s="490">
        <f t="shared" si="13"/>
        <v>0</v>
      </c>
      <c r="AC71" s="998"/>
      <c r="AD71" s="999"/>
    </row>
    <row r="72" spans="2:30" x14ac:dyDescent="0.2">
      <c r="C72" s="972" t="s">
        <v>477</v>
      </c>
      <c r="D72" s="482">
        <v>195</v>
      </c>
      <c r="E72" s="482"/>
      <c r="F72" s="482"/>
      <c r="G72" s="482"/>
      <c r="I72" s="413"/>
      <c r="J72" s="465"/>
      <c r="K72" s="465"/>
      <c r="L72" s="465"/>
      <c r="M72" s="466"/>
      <c r="O72" s="483" t="str">
        <f t="shared" si="2"/>
        <v>PARTICIPAÇÃO MINORITÁRIA</v>
      </c>
      <c r="P72" s="482">
        <f>IF(VALOR=1,D72/VLOOKUP(+$J$6,TABELA,2),IF(VALOR=2,D72/VLOOKUP(+$J$6,TABELA,3),D72/VLOOKUP($J$6,TABELA,2)))</f>
        <v>195</v>
      </c>
      <c r="Q72" s="493">
        <f t="shared" si="14"/>
        <v>5.46984572230014</v>
      </c>
      <c r="R72" s="482">
        <f>IF(VALOR=1,E72/VLOOKUP(+$J$7,TABELA,2),IF(VALOR=2,E72/VLOOKUP(+$J$7,TABELA,3),E72/VLOOKUP($J$7,TABELA,2)))</f>
        <v>0</v>
      </c>
      <c r="S72" s="493">
        <f t="shared" si="14"/>
        <v>0</v>
      </c>
      <c r="T72" s="482">
        <f t="shared" si="5"/>
        <v>0</v>
      </c>
      <c r="U72" s="493">
        <f t="shared" si="12"/>
        <v>0</v>
      </c>
      <c r="V72" s="482">
        <f t="shared" si="7"/>
        <v>0</v>
      </c>
      <c r="W72" s="493">
        <f t="shared" si="13"/>
        <v>0</v>
      </c>
      <c r="AC72" s="998"/>
      <c r="AD72" s="999"/>
    </row>
    <row r="73" spans="2:30" x14ac:dyDescent="0.2">
      <c r="C73" s="969" t="s">
        <v>478</v>
      </c>
      <c r="D73" s="470">
        <v>200</v>
      </c>
      <c r="E73" s="470"/>
      <c r="F73" s="470"/>
      <c r="G73" s="470"/>
      <c r="I73" s="413"/>
      <c r="J73" s="465"/>
      <c r="K73" s="465"/>
      <c r="L73" s="465"/>
      <c r="M73" s="466"/>
      <c r="O73" s="471" t="str">
        <f t="shared" si="2"/>
        <v>CAPITAL SOCIAL</v>
      </c>
      <c r="P73" s="470">
        <f>IF(VALOR=1,D73/VLOOKUP(+$J$6,TABELA,2),IF(VALOR=2,D73/VLOOKUP(+$J$6,TABELA,3),D73/VLOOKUP($J$6,TABELA,2)))</f>
        <v>200</v>
      </c>
      <c r="Q73" s="472">
        <f t="shared" si="14"/>
        <v>5.6100981767180924</v>
      </c>
      <c r="R73" s="473">
        <f>IF(VALOR=1,E73/VLOOKUP(+$J$7,TABELA,2),IF(VALOR=2,E73/VLOOKUP(+$J$7,TABELA,3),E73/VLOOKUP($J$7,TABELA,2)))</f>
        <v>0</v>
      </c>
      <c r="S73" s="472">
        <f t="shared" si="14"/>
        <v>0</v>
      </c>
      <c r="T73" s="473">
        <f t="shared" si="5"/>
        <v>0</v>
      </c>
      <c r="U73" s="472">
        <f t="shared" si="12"/>
        <v>0</v>
      </c>
      <c r="V73" s="473">
        <f t="shared" si="7"/>
        <v>0</v>
      </c>
      <c r="W73" s="472">
        <f t="shared" si="13"/>
        <v>0</v>
      </c>
      <c r="AC73" s="998"/>
      <c r="AD73" s="999"/>
    </row>
    <row r="74" spans="2:30" ht="12.75" customHeight="1" x14ac:dyDescent="0.2">
      <c r="C74" s="970" t="s">
        <v>890</v>
      </c>
      <c r="D74" s="474">
        <v>205</v>
      </c>
      <c r="E74" s="474"/>
      <c r="F74" s="474"/>
      <c r="G74" s="474"/>
      <c r="I74" s="413"/>
      <c r="J74" s="465"/>
      <c r="K74" s="465"/>
      <c r="L74" s="465"/>
      <c r="M74" s="466"/>
      <c r="O74" s="475" t="str">
        <f t="shared" si="2"/>
        <v>RESERVAS</v>
      </c>
      <c r="P74" s="474">
        <f>IF(VALOR=1,D74/VLOOKUP(+$J$6,TABELA,2),IF(VALOR=2,D74/VLOOKUP(+$J$6,TABELA,3),D74/VLOOKUP($J$6,TABELA,2)))</f>
        <v>205</v>
      </c>
      <c r="Q74" s="476">
        <f t="shared" si="14"/>
        <v>5.7503506311360448</v>
      </c>
      <c r="R74" s="477">
        <f>IF(VALOR=1,E74/VLOOKUP(+$J$7,TABELA,2),IF(VALOR=2,E74/VLOOKUP(+$J$7,TABELA,3),E74/VLOOKUP($J$7,TABELA,2)))</f>
        <v>0</v>
      </c>
      <c r="S74" s="476">
        <f t="shared" si="14"/>
        <v>0</v>
      </c>
      <c r="T74" s="477">
        <f t="shared" si="5"/>
        <v>0</v>
      </c>
      <c r="U74" s="476">
        <f t="shared" si="12"/>
        <v>0</v>
      </c>
      <c r="V74" s="477">
        <f t="shared" si="7"/>
        <v>0</v>
      </c>
      <c r="W74" s="476">
        <f t="shared" si="13"/>
        <v>0</v>
      </c>
      <c r="Z74" s="494"/>
      <c r="AC74" s="1000" t="s">
        <v>418</v>
      </c>
      <c r="AD74" s="1001"/>
    </row>
    <row r="75" spans="2:30" x14ac:dyDescent="0.2">
      <c r="C75" s="972" t="s">
        <v>479</v>
      </c>
      <c r="D75" s="482">
        <v>210</v>
      </c>
      <c r="E75" s="482"/>
      <c r="F75" s="482"/>
      <c r="G75" s="474"/>
      <c r="I75" s="413"/>
      <c r="J75" s="465"/>
      <c r="K75" s="465"/>
      <c r="L75" s="465"/>
      <c r="M75" s="466"/>
      <c r="O75" s="483" t="str">
        <f t="shared" si="2"/>
        <v>PREJUÍZO/LUCROS ACUMULADOS</v>
      </c>
      <c r="P75" s="482">
        <f>IF(VALOR=1,D75/VLOOKUP(+$J$6,TABELA,2),IF(VALOR=2,D75/VLOOKUP(+$J$6,TABELA,3),D75/VLOOKUP($J$6,TABELA,2)))</f>
        <v>210</v>
      </c>
      <c r="Q75" s="484">
        <f t="shared" si="14"/>
        <v>5.8906030855539973</v>
      </c>
      <c r="R75" s="485">
        <f>IF(VALOR=1,E75/VLOOKUP(+$J$7,TABELA,2),IF(VALOR=2,E75/VLOOKUP(+$J$7,TABELA,3),E75/VLOOKUP($J$7,TABELA,2)))</f>
        <v>0</v>
      </c>
      <c r="S75" s="484">
        <f t="shared" si="14"/>
        <v>0</v>
      </c>
      <c r="T75" s="485">
        <f t="shared" si="5"/>
        <v>0</v>
      </c>
      <c r="U75" s="484">
        <f t="shared" si="12"/>
        <v>0</v>
      </c>
      <c r="V75" s="485">
        <f t="shared" si="7"/>
        <v>0</v>
      </c>
      <c r="W75" s="484">
        <f t="shared" si="13"/>
        <v>0</v>
      </c>
      <c r="AC75" s="1002"/>
      <c r="AD75" s="1003"/>
    </row>
    <row r="76" spans="2:30" x14ac:dyDescent="0.2">
      <c r="C76" s="486" t="s">
        <v>480</v>
      </c>
      <c r="D76" s="495">
        <f>SUM(D73:D75)</f>
        <v>615</v>
      </c>
      <c r="E76" s="495">
        <f>SUM(E73:E75)</f>
        <v>0</v>
      </c>
      <c r="F76" s="495">
        <f>SUM(F73:F75)</f>
        <v>0</v>
      </c>
      <c r="G76" s="495">
        <f>SUM(G73:G75)</f>
        <v>0</v>
      </c>
      <c r="I76" s="413"/>
      <c r="J76" s="465"/>
      <c r="K76" s="465"/>
      <c r="L76" s="465"/>
      <c r="M76" s="466"/>
      <c r="O76" s="488" t="str">
        <f t="shared" si="2"/>
        <v>PATRIMÔNIO LÍQUIDO</v>
      </c>
      <c r="P76" s="496">
        <f>SUM(P73:P75)</f>
        <v>615</v>
      </c>
      <c r="Q76" s="489">
        <f t="shared" si="14"/>
        <v>17.251051893408135</v>
      </c>
      <c r="R76" s="496">
        <f>SUM(R73:R75)</f>
        <v>0</v>
      </c>
      <c r="S76" s="489">
        <f t="shared" si="14"/>
        <v>0</v>
      </c>
      <c r="T76" s="496">
        <f>SUM(T73:T75)</f>
        <v>0</v>
      </c>
      <c r="U76" s="489">
        <f t="shared" si="12"/>
        <v>0</v>
      </c>
      <c r="V76" s="496">
        <f>SUM(V73:V75)</f>
        <v>0</v>
      </c>
      <c r="W76" s="489">
        <f t="shared" si="13"/>
        <v>0</v>
      </c>
      <c r="AC76" s="996"/>
      <c r="AD76" s="997"/>
    </row>
    <row r="77" spans="2:30" x14ac:dyDescent="0.2">
      <c r="C77" s="486" t="s">
        <v>481</v>
      </c>
      <c r="D77" s="495">
        <f>SUM(D70:D75)</f>
        <v>3565</v>
      </c>
      <c r="E77" s="495">
        <f>SUM(E70:E75)</f>
        <v>16900</v>
      </c>
      <c r="F77" s="495">
        <f>SUM(F70:F75)</f>
        <v>169000</v>
      </c>
      <c r="G77" s="495">
        <f>SUM(G70:G75)</f>
        <v>350000</v>
      </c>
      <c r="I77" s="413"/>
      <c r="J77" s="465"/>
      <c r="K77" s="465"/>
      <c r="L77" s="465"/>
      <c r="M77" s="466"/>
      <c r="O77" s="488" t="str">
        <f t="shared" si="2"/>
        <v>TOTAL DO PASSIVO + PL</v>
      </c>
      <c r="P77" s="496">
        <f>SUM(P70:P75)</f>
        <v>3565</v>
      </c>
      <c r="Q77" s="489">
        <f t="shared" si="14"/>
        <v>100</v>
      </c>
      <c r="R77" s="496">
        <f>SUM(R70:R75)</f>
        <v>16900</v>
      </c>
      <c r="S77" s="489">
        <f t="shared" si="14"/>
        <v>100</v>
      </c>
      <c r="T77" s="496">
        <f>SUM(T70:T75)</f>
        <v>169000</v>
      </c>
      <c r="U77" s="489">
        <f t="shared" si="12"/>
        <v>100</v>
      </c>
      <c r="V77" s="496">
        <f>SUM(V70:V75)</f>
        <v>350000</v>
      </c>
      <c r="W77" s="489">
        <f t="shared" si="13"/>
        <v>100</v>
      </c>
      <c r="AC77" s="998"/>
      <c r="AD77" s="999"/>
    </row>
    <row r="78" spans="2:30" x14ac:dyDescent="0.2">
      <c r="C78" s="497"/>
      <c r="D78" s="498">
        <f>+D77-D47</f>
        <v>2615</v>
      </c>
      <c r="E78" s="498">
        <f>+E77-E47</f>
        <v>7400</v>
      </c>
      <c r="F78" s="498">
        <f>+F77-F47</f>
        <v>74000</v>
      </c>
      <c r="G78" s="498">
        <f>+G77-G47</f>
        <v>-420000</v>
      </c>
      <c r="I78" s="413"/>
      <c r="J78" s="465"/>
      <c r="K78" s="465"/>
      <c r="L78" s="465"/>
      <c r="M78" s="466"/>
      <c r="O78" s="497" t="s">
        <v>482</v>
      </c>
      <c r="P78" s="499">
        <f>IF(VALOR=1,VLOOKUP(+$J$6,TABELA,2),IF(VALOR=2,VLOOKUP(+$J$6,TABELA,3),VLOOKUP($J$6,TABELA,2)))</f>
        <v>1</v>
      </c>
      <c r="Q78" s="442"/>
      <c r="R78" s="499">
        <f>IF(VALOR=1,VLOOKUP(+$J$7,TABELA,2),IF(VALOR=2,VLOOKUP(+$J$7,TABELA,3),VLOOKUP($J$7,TABELA,2)))</f>
        <v>1</v>
      </c>
      <c r="S78" s="442"/>
      <c r="T78" s="499">
        <f>IF(VALOR=1,VLOOKUP(+$J$8,TABELA,2),IF(VALOR=2,VLOOKUP(+$J$8,TABELA,3),VLOOKUP($J$8,TABELA,2)))</f>
        <v>1</v>
      </c>
      <c r="U78" s="442"/>
      <c r="V78" s="499">
        <f>IF(VALOR=1,VLOOKUP(+$J$9,TABELA,2),IF(VALOR=2,VLOOKUP(+$J$9,TABELA,3),VLOOKUP($J$9,TABELA,2)))</f>
        <v>1</v>
      </c>
      <c r="W78" s="442"/>
      <c r="AC78" s="998"/>
      <c r="AD78" s="999"/>
    </row>
    <row r="79" spans="2:30" x14ac:dyDescent="0.2">
      <c r="I79" s="413"/>
      <c r="J79" s="465"/>
      <c r="K79" s="465"/>
      <c r="L79" s="465"/>
      <c r="M79" s="466"/>
      <c r="AC79" s="998"/>
      <c r="AD79" s="999"/>
    </row>
    <row r="80" spans="2:30" x14ac:dyDescent="0.2">
      <c r="C80" s="973" t="str">
        <f>IF(B145=0,"Completar Changes in Net Worth","")</f>
        <v/>
      </c>
      <c r="D80" s="974">
        <f>D24</f>
        <v>42369</v>
      </c>
      <c r="E80" s="974">
        <f>E24</f>
        <v>42735</v>
      </c>
      <c r="F80" s="974">
        <f>F24</f>
        <v>43100</v>
      </c>
      <c r="G80" s="974">
        <f>G24</f>
        <v>43465</v>
      </c>
      <c r="I80" s="413"/>
      <c r="J80" s="465"/>
      <c r="K80" s="465"/>
      <c r="L80" s="465"/>
      <c r="M80" s="466"/>
      <c r="O80" s="463" t="str">
        <f>+O23</f>
        <v>MOEDA : R$ 1.000</v>
      </c>
      <c r="P80" s="1035">
        <f>+D80</f>
        <v>42369</v>
      </c>
      <c r="Q80" s="1036"/>
      <c r="R80" s="1035">
        <f>+E80</f>
        <v>42735</v>
      </c>
      <c r="S80" s="1036"/>
      <c r="T80" s="1035">
        <f>+F80</f>
        <v>43100</v>
      </c>
      <c r="U80" s="1036"/>
      <c r="V80" s="1035">
        <f>+G80</f>
        <v>43465</v>
      </c>
      <c r="W80" s="1036"/>
      <c r="AC80" s="998"/>
      <c r="AD80" s="999"/>
    </row>
    <row r="81" spans="2:30" x14ac:dyDescent="0.2">
      <c r="D81" s="500" t="str">
        <f>+D16</f>
        <v>12 months</v>
      </c>
      <c r="E81" s="500" t="str">
        <f>+E16</f>
        <v>12 months</v>
      </c>
      <c r="F81" s="500" t="str">
        <f>+F16</f>
        <v>12 months</v>
      </c>
      <c r="G81" s="500" t="str">
        <f>+G16</f>
        <v>12 months</v>
      </c>
      <c r="I81" s="413"/>
      <c r="J81" s="465"/>
      <c r="K81" s="465"/>
      <c r="L81" s="465"/>
      <c r="M81" s="466"/>
      <c r="O81" s="463" t="str">
        <f>+O24</f>
        <v>--</v>
      </c>
      <c r="P81" s="500" t="str">
        <f>+D81</f>
        <v>12 months</v>
      </c>
      <c r="Q81" s="501" t="s">
        <v>444</v>
      </c>
      <c r="R81" s="500" t="str">
        <f>+E81</f>
        <v>12 months</v>
      </c>
      <c r="S81" s="501" t="s">
        <v>444</v>
      </c>
      <c r="T81" s="500" t="str">
        <f>+F81</f>
        <v>12 months</v>
      </c>
      <c r="U81" s="501" t="s">
        <v>444</v>
      </c>
      <c r="V81" s="500" t="str">
        <f>+G81</f>
        <v>12 months</v>
      </c>
      <c r="W81" s="501" t="s">
        <v>444</v>
      </c>
      <c r="AC81" s="998"/>
      <c r="AD81" s="999"/>
    </row>
    <row r="82" spans="2:30" x14ac:dyDescent="0.2">
      <c r="C82" s="965" t="s">
        <v>483</v>
      </c>
      <c r="D82" s="502">
        <v>215</v>
      </c>
      <c r="E82" s="502"/>
      <c r="F82" s="502"/>
      <c r="G82" s="502"/>
      <c r="I82" s="413"/>
      <c r="J82" s="465"/>
      <c r="K82" s="465"/>
      <c r="L82" s="465"/>
      <c r="M82" s="466"/>
      <c r="O82" s="471" t="str">
        <f>+C82</f>
        <v>RECEITA BRUTA</v>
      </c>
      <c r="P82" s="502">
        <f>IF(VALOR=1,D82/VLOOKUP(+$J$6,TABELA,2),IF(VALOR=2,D82/VLOOKUP(+$J$6,TABELA,3),D82/VLOOKUP($J$6,TABELA,4)))</f>
        <v>215</v>
      </c>
      <c r="Q82" s="503">
        <f>IF(P$83=0,FALSE(),P82/P$83*100)</f>
        <v>97.727272727272734</v>
      </c>
      <c r="R82" s="502">
        <f t="shared" ref="R82:R106" si="16">IF(VALOR=1,E82/VLOOKUP(+$J$7,TABELA,2),IF(VALOR=2,E82/VLOOKUP(+$J$7,TABELA,3),E82/VLOOKUP($J$7,TABELA,4)))</f>
        <v>0</v>
      </c>
      <c r="S82" s="503" t="b">
        <f>IF(R$83=0,FALSE(),R82/R$83*100)</f>
        <v>0</v>
      </c>
      <c r="T82" s="502">
        <f>IF(VALOR=1,F82/VLOOKUP(+$J$8,TABELA,2),IF(VALOR=2,F82/VLOOKUP(+$J$8,TABELA,3),F82/VLOOKUP($J$8,TABELA,4)))</f>
        <v>0</v>
      </c>
      <c r="U82" s="503" t="b">
        <f t="shared" ref="U82:U110" si="17">IF(T$83=0,FALSE(),T82/T$83*100)</f>
        <v>0</v>
      </c>
      <c r="V82" s="502">
        <f>IF(VALOR=1,G82/VLOOKUP(+$J$9,TABELA,2),IF(VALOR=2,G82/VLOOKUP(+$J$9,TABELA,3),G82/VLOOKUP($J$9,TABELA,4)))</f>
        <v>0</v>
      </c>
      <c r="W82" s="503" t="b">
        <f t="shared" ref="W82:W110" si="18">IF(V$83=0,FALSE(),V82/V$83*100)</f>
        <v>0</v>
      </c>
      <c r="AC82" s="998"/>
      <c r="AD82" s="999"/>
    </row>
    <row r="83" spans="2:30" x14ac:dyDescent="0.2">
      <c r="C83" s="966" t="s">
        <v>484</v>
      </c>
      <c r="D83" s="504">
        <v>220</v>
      </c>
      <c r="E83" s="504"/>
      <c r="F83" s="504"/>
      <c r="G83" s="504"/>
      <c r="I83" s="413"/>
      <c r="J83" s="465"/>
      <c r="K83" s="465"/>
      <c r="L83" s="465"/>
      <c r="M83" s="466"/>
      <c r="O83" s="475" t="str">
        <f t="shared" ref="O83:O111" si="19">+C83</f>
        <v>RECEITA LÍQUIDA</v>
      </c>
      <c r="P83" s="504">
        <f t="shared" ref="P83:P106" si="20">IF(VALOR=1,D83/VLOOKUP(+$J$6,TABELA,2),IF(VALOR=2,D83/VLOOKUP(+$J$6,TABELA,3),D83/VLOOKUP($J$6,TABELA,4)))</f>
        <v>220</v>
      </c>
      <c r="Q83" s="505">
        <f>IF(P$83=0,FALSE(),P83/P$83*100)</f>
        <v>100</v>
      </c>
      <c r="R83" s="504">
        <f t="shared" si="16"/>
        <v>0</v>
      </c>
      <c r="S83" s="505" t="b">
        <f>IF(R$83=0,FALSE(),R83/R$83*100)</f>
        <v>0</v>
      </c>
      <c r="T83" s="504">
        <f>IF(VALOR=1,F83/VLOOKUP(+$J$8,TABELA,2),IF(VALOR=2,F83/VLOOKUP(+$J$8,TABELA,3),F83/VLOOKUP($J$8,TABELA,4)))</f>
        <v>0</v>
      </c>
      <c r="U83" s="505" t="b">
        <f t="shared" si="17"/>
        <v>0</v>
      </c>
      <c r="V83" s="504">
        <f>IF(VALOR=1,G83/VLOOKUP(+$J$9,TABELA,2),IF(VALOR=2,G83/VLOOKUP(+$J$9,TABELA,3),G83/VLOOKUP($J$9,TABELA,4)))</f>
        <v>0</v>
      </c>
      <c r="W83" s="505" t="b">
        <f t="shared" si="18"/>
        <v>0</v>
      </c>
      <c r="Y83" s="494"/>
      <c r="AC83" s="998"/>
      <c r="AD83" s="999"/>
    </row>
    <row r="84" spans="2:30" ht="12.75" customHeight="1" x14ac:dyDescent="0.2">
      <c r="C84" s="966" t="s">
        <v>485</v>
      </c>
      <c r="D84" s="504">
        <v>225</v>
      </c>
      <c r="E84" s="504"/>
      <c r="F84" s="504"/>
      <c r="G84" s="504"/>
      <c r="I84" s="413"/>
      <c r="J84" s="465"/>
      <c r="K84" s="465"/>
      <c r="L84" s="465"/>
      <c r="M84" s="466"/>
      <c r="O84" s="475" t="str">
        <f t="shared" si="19"/>
        <v>CPV</v>
      </c>
      <c r="P84" s="504">
        <f t="shared" si="20"/>
        <v>225</v>
      </c>
      <c r="Q84" s="506">
        <f t="shared" ref="Q84:S110" si="21">IF(P$83=0,FALSE(),P84/P$83*100)</f>
        <v>102.27272727272727</v>
      </c>
      <c r="R84" s="504">
        <f t="shared" si="16"/>
        <v>0</v>
      </c>
      <c r="S84" s="506" t="b">
        <f t="shared" si="21"/>
        <v>0</v>
      </c>
      <c r="T84" s="504">
        <f>IF(VALOR=1,F84/VLOOKUP(+$J$8,TABELA,2),IF(VALOR=2,F84/VLOOKUP(+$J$8,TABELA,3),F84/VLOOKUP($J$8,TABELA,4)))</f>
        <v>0</v>
      </c>
      <c r="U84" s="506" t="b">
        <f t="shared" si="17"/>
        <v>0</v>
      </c>
      <c r="V84" s="504">
        <f>IF(VALOR=1,G84/VLOOKUP(+$J$9,TABELA,2),IF(VALOR=2,G84/VLOOKUP(+$J$9,TABELA,3),G84/VLOOKUP($J$9,TABELA,4)))</f>
        <v>0</v>
      </c>
      <c r="W84" s="506" t="b">
        <f t="shared" si="18"/>
        <v>0</v>
      </c>
      <c r="AC84" s="1000" t="s">
        <v>418</v>
      </c>
      <c r="AD84" s="1001"/>
    </row>
    <row r="85" spans="2:30" x14ac:dyDescent="0.2">
      <c r="C85" s="966" t="s">
        <v>486</v>
      </c>
      <c r="D85" s="504">
        <v>230</v>
      </c>
      <c r="E85" s="504"/>
      <c r="F85" s="504"/>
      <c r="G85" s="504"/>
      <c r="I85" s="413"/>
      <c r="J85" s="465"/>
      <c r="K85" s="465"/>
      <c r="L85" s="465"/>
      <c r="M85" s="466"/>
      <c r="O85" s="475" t="str">
        <f t="shared" si="19"/>
        <v>DEPRECIAÇÃO</v>
      </c>
      <c r="P85" s="504">
        <f t="shared" si="20"/>
        <v>230</v>
      </c>
      <c r="Q85" s="506">
        <f t="shared" si="21"/>
        <v>104.54545454545455</v>
      </c>
      <c r="R85" s="504">
        <f t="shared" si="16"/>
        <v>0</v>
      </c>
      <c r="S85" s="506" t="b">
        <f t="shared" si="21"/>
        <v>0</v>
      </c>
      <c r="T85" s="504">
        <f>IF(VALOR=1,F85/VLOOKUP(+$J$8,TABELA,2),IF(VALOR=2,F85/VLOOKUP(+$J$8,TABELA,3),F85/VLOOKUP($J$8,TABELA,4)))</f>
        <v>0</v>
      </c>
      <c r="U85" s="506" t="b">
        <f t="shared" si="17"/>
        <v>0</v>
      </c>
      <c r="V85" s="504">
        <f>IF(VALOR=1,G85/VLOOKUP(+$J$9,TABELA,2),IF(VALOR=2,G85/VLOOKUP(+$J$9,TABELA,3),G85/VLOOKUP($J$9,TABELA,4)))</f>
        <v>0</v>
      </c>
      <c r="W85" s="506" t="b">
        <f t="shared" si="18"/>
        <v>0</v>
      </c>
      <c r="AC85" s="1002"/>
      <c r="AD85" s="1003"/>
    </row>
    <row r="86" spans="2:30" x14ac:dyDescent="0.2">
      <c r="B86" s="507" t="s">
        <v>473</v>
      </c>
      <c r="C86" s="966"/>
      <c r="D86" s="504"/>
      <c r="E86" s="504"/>
      <c r="F86" s="504"/>
      <c r="G86" s="504"/>
      <c r="I86" s="413"/>
      <c r="J86" s="465"/>
      <c r="K86" s="465"/>
      <c r="L86" s="465"/>
      <c r="M86" s="466"/>
      <c r="O86" s="475">
        <f t="shared" si="19"/>
        <v>0</v>
      </c>
      <c r="P86" s="504">
        <f t="shared" si="20"/>
        <v>0</v>
      </c>
      <c r="Q86" s="506">
        <f t="shared" si="21"/>
        <v>0</v>
      </c>
      <c r="R86" s="504">
        <f t="shared" si="16"/>
        <v>0</v>
      </c>
      <c r="S86" s="506" t="b">
        <f t="shared" si="21"/>
        <v>0</v>
      </c>
      <c r="T86" s="504">
        <f>IF(VALOR=1,F86/VLOOKUP(+$J$8,TABELA,2),IF(VALOR=2,F86/VLOOKUP(+$J$8,TABELA,3),F86/VLOOKUP($J$8,TABELA,4)))</f>
        <v>0</v>
      </c>
      <c r="U86" s="506" t="b">
        <f t="shared" si="17"/>
        <v>0</v>
      </c>
      <c r="V86" s="504">
        <f>IF(VALOR=1,G86/VLOOKUP(+$J$9,TABELA,2),IF(VALOR=2,G86/VLOOKUP(+$J$9,TABELA,3),G86/VLOOKUP($J$9,TABELA,4)))</f>
        <v>0</v>
      </c>
      <c r="W86" s="506" t="b">
        <f t="shared" si="18"/>
        <v>0</v>
      </c>
      <c r="AC86" s="996"/>
      <c r="AD86" s="997"/>
    </row>
    <row r="87" spans="2:30" x14ac:dyDescent="0.2">
      <c r="C87" s="488" t="s">
        <v>487</v>
      </c>
      <c r="D87" s="495">
        <f>(D83-D84+D86)</f>
        <v>-5</v>
      </c>
      <c r="E87" s="495">
        <f>(E83-E84+E86)</f>
        <v>0</v>
      </c>
      <c r="F87" s="495">
        <f>(F83-F84+F86)</f>
        <v>0</v>
      </c>
      <c r="G87" s="495">
        <f>(G83-G84+G86)</f>
        <v>0</v>
      </c>
      <c r="I87" s="413"/>
      <c r="J87" s="465"/>
      <c r="K87" s="465"/>
      <c r="L87" s="465"/>
      <c r="M87" s="466"/>
      <c r="O87" s="488" t="str">
        <f t="shared" si="19"/>
        <v>LUCRO BRUTO</v>
      </c>
      <c r="P87" s="495">
        <f t="shared" si="20"/>
        <v>-5</v>
      </c>
      <c r="Q87" s="508">
        <f t="shared" si="21"/>
        <v>-2.2727272727272729</v>
      </c>
      <c r="R87" s="495">
        <f t="shared" si="16"/>
        <v>0</v>
      </c>
      <c r="S87" s="508" t="b">
        <f t="shared" si="21"/>
        <v>0</v>
      </c>
      <c r="T87" s="495">
        <f>+T83-T84-T85+T86</f>
        <v>0</v>
      </c>
      <c r="U87" s="508" t="b">
        <f>IF(T$83=0,FALSE(),T87/T$83*100)</f>
        <v>0</v>
      </c>
      <c r="V87" s="495">
        <f>+V83-V84-V85+V86</f>
        <v>0</v>
      </c>
      <c r="W87" s="508" t="b">
        <f t="shared" si="18"/>
        <v>0</v>
      </c>
      <c r="AC87" s="998"/>
      <c r="AD87" s="999"/>
    </row>
    <row r="88" spans="2:30" x14ac:dyDescent="0.2">
      <c r="C88" s="975" t="s">
        <v>488</v>
      </c>
      <c r="D88" s="509">
        <f>D89+D90+D91-D92</f>
        <v>470</v>
      </c>
      <c r="E88" s="509">
        <f>E89+E90+E91-E92</f>
        <v>0</v>
      </c>
      <c r="F88" s="509">
        <f>F89+F90+F91-F92</f>
        <v>0</v>
      </c>
      <c r="G88" s="509">
        <f>G89+G90+G91-G92</f>
        <v>0</v>
      </c>
      <c r="I88" s="413"/>
      <c r="J88" s="465"/>
      <c r="K88" s="465"/>
      <c r="L88" s="465"/>
      <c r="M88" s="466"/>
      <c r="O88" s="510" t="str">
        <f t="shared" si="19"/>
        <v>DESPESAS OPERACIONAIS</v>
      </c>
      <c r="P88" s="509">
        <f t="shared" si="20"/>
        <v>470</v>
      </c>
      <c r="Q88" s="511">
        <f t="shared" si="21"/>
        <v>213.63636363636363</v>
      </c>
      <c r="R88" s="509">
        <f t="shared" si="16"/>
        <v>0</v>
      </c>
      <c r="S88" s="511" t="b">
        <f t="shared" si="21"/>
        <v>0</v>
      </c>
      <c r="T88" s="509">
        <f>SUM(T89:T91)</f>
        <v>0</v>
      </c>
      <c r="U88" s="511" t="b">
        <f t="shared" si="17"/>
        <v>0</v>
      </c>
      <c r="V88" s="509">
        <f>SUM(V89:V91)</f>
        <v>0</v>
      </c>
      <c r="W88" s="511" t="b">
        <f t="shared" si="18"/>
        <v>0</v>
      </c>
      <c r="AC88" s="998"/>
      <c r="AD88" s="999"/>
    </row>
    <row r="89" spans="2:30" x14ac:dyDescent="0.2">
      <c r="C89" s="966" t="s">
        <v>489</v>
      </c>
      <c r="D89" s="504">
        <v>235</v>
      </c>
      <c r="E89" s="504"/>
      <c r="F89" s="504"/>
      <c r="G89" s="504"/>
      <c r="I89" s="413"/>
      <c r="J89" s="465"/>
      <c r="K89" s="465"/>
      <c r="L89" s="465"/>
      <c r="M89" s="466"/>
      <c r="O89" s="475" t="str">
        <f t="shared" si="19"/>
        <v>DESPESAS ADMINISTRATIVAS</v>
      </c>
      <c r="P89" s="504">
        <f t="shared" si="20"/>
        <v>235</v>
      </c>
      <c r="Q89" s="506">
        <f t="shared" si="21"/>
        <v>106.81818181818181</v>
      </c>
      <c r="R89" s="504">
        <f t="shared" si="16"/>
        <v>0</v>
      </c>
      <c r="S89" s="506" t="b">
        <f t="shared" si="21"/>
        <v>0</v>
      </c>
      <c r="T89" s="504">
        <f>IF(VALOR=1,F89/VLOOKUP(+$J$8,TABELA,2),IF(VALOR=2,F89/VLOOKUP(+$J$8,TABELA,3),F89/VLOOKUP($J$8,TABELA,4)))</f>
        <v>0</v>
      </c>
      <c r="U89" s="506" t="b">
        <f t="shared" si="17"/>
        <v>0</v>
      </c>
      <c r="V89" s="504">
        <f t="shared" ref="V89:V106" si="22">IF(VALOR=1,G89/VLOOKUP(+$J$9,TABELA,2),IF(VALOR=2,G89/VLOOKUP(+$J$9,TABELA,3),G89/VLOOKUP($J$9,TABELA,4)))</f>
        <v>0</v>
      </c>
      <c r="W89" s="506" t="b">
        <f t="shared" si="18"/>
        <v>0</v>
      </c>
      <c r="AC89" s="998"/>
      <c r="AD89" s="999"/>
    </row>
    <row r="90" spans="2:30" x14ac:dyDescent="0.2">
      <c r="C90" s="966" t="s">
        <v>891</v>
      </c>
      <c r="D90" s="504">
        <v>240</v>
      </c>
      <c r="E90" s="504"/>
      <c r="F90" s="504"/>
      <c r="G90" s="504"/>
      <c r="I90" s="413"/>
      <c r="J90" s="465"/>
      <c r="K90" s="465"/>
      <c r="L90" s="465"/>
      <c r="M90" s="466"/>
      <c r="O90" s="475" t="str">
        <f t="shared" si="19"/>
        <v>DESPESAS PESSOAIS</v>
      </c>
      <c r="P90" s="504">
        <f t="shared" si="20"/>
        <v>240</v>
      </c>
      <c r="Q90" s="506">
        <f t="shared" si="21"/>
        <v>109.09090909090908</v>
      </c>
      <c r="R90" s="504">
        <f t="shared" si="16"/>
        <v>0</v>
      </c>
      <c r="S90" s="506" t="b">
        <f t="shared" si="21"/>
        <v>0</v>
      </c>
      <c r="T90" s="504">
        <f>IF(VALOR=1,F90/VLOOKUP(+$J$8,TABELA,2),IF(VALOR=2,F90/VLOOKUP(+$J$8,TABELA,3),F90/VLOOKUP($J$8,TABELA,4)))</f>
        <v>0</v>
      </c>
      <c r="U90" s="506" t="b">
        <f t="shared" si="17"/>
        <v>0</v>
      </c>
      <c r="V90" s="504">
        <f t="shared" si="22"/>
        <v>0</v>
      </c>
      <c r="W90" s="506" t="b">
        <f t="shared" si="18"/>
        <v>0</v>
      </c>
      <c r="AC90" s="998"/>
      <c r="AD90" s="999"/>
    </row>
    <row r="91" spans="2:30" x14ac:dyDescent="0.2">
      <c r="C91" s="966" t="s">
        <v>490</v>
      </c>
      <c r="D91" s="504">
        <v>245</v>
      </c>
      <c r="E91" s="504"/>
      <c r="F91" s="504"/>
      <c r="G91" s="504"/>
      <c r="I91" s="413"/>
      <c r="J91" s="465"/>
      <c r="K91" s="465"/>
      <c r="L91" s="465"/>
      <c r="M91" s="466"/>
      <c r="O91" s="475" t="str">
        <f t="shared" si="19"/>
        <v>DESPESAS COMERCIAIS</v>
      </c>
      <c r="P91" s="504">
        <f t="shared" si="20"/>
        <v>245</v>
      </c>
      <c r="Q91" s="506">
        <f t="shared" si="21"/>
        <v>111.36363636363636</v>
      </c>
      <c r="R91" s="504">
        <f t="shared" si="16"/>
        <v>0</v>
      </c>
      <c r="S91" s="506" t="b">
        <f t="shared" si="21"/>
        <v>0</v>
      </c>
      <c r="T91" s="504">
        <f t="shared" ref="T91:T106" si="23">IF(VALOR=1,F91/VLOOKUP(+$J$8,TABELA,2),IF(VALOR=2,F91/VLOOKUP(+$J$8,TABELA,3),F91/VLOOKUP($J$8,TABELA,4)))</f>
        <v>0</v>
      </c>
      <c r="U91" s="506" t="b">
        <f t="shared" si="17"/>
        <v>0</v>
      </c>
      <c r="V91" s="504">
        <f t="shared" si="22"/>
        <v>0</v>
      </c>
      <c r="W91" s="506" t="b">
        <f t="shared" si="18"/>
        <v>0</v>
      </c>
      <c r="AC91" s="998"/>
      <c r="AD91" s="999"/>
    </row>
    <row r="92" spans="2:30" x14ac:dyDescent="0.2">
      <c r="C92" s="968" t="s">
        <v>892</v>
      </c>
      <c r="D92" s="512">
        <v>250</v>
      </c>
      <c r="E92" s="512"/>
      <c r="F92" s="512"/>
      <c r="G92" s="504"/>
      <c r="I92" s="413"/>
      <c r="J92" s="465"/>
      <c r="K92" s="465"/>
      <c r="L92" s="465"/>
      <c r="M92" s="466"/>
      <c r="O92" s="483" t="str">
        <f t="shared" si="19"/>
        <v>OUTRAS RECEITAS / DESPESAS</v>
      </c>
      <c r="P92" s="512">
        <f t="shared" si="20"/>
        <v>250</v>
      </c>
      <c r="Q92" s="513">
        <f t="shared" si="21"/>
        <v>113.63636363636364</v>
      </c>
      <c r="R92" s="512">
        <f t="shared" si="16"/>
        <v>0</v>
      </c>
      <c r="S92" s="513" t="b">
        <f t="shared" si="21"/>
        <v>0</v>
      </c>
      <c r="T92" s="512">
        <f t="shared" si="23"/>
        <v>0</v>
      </c>
      <c r="U92" s="513" t="b">
        <f t="shared" si="17"/>
        <v>0</v>
      </c>
      <c r="V92" s="512">
        <f t="shared" si="22"/>
        <v>0</v>
      </c>
      <c r="W92" s="513" t="b">
        <f t="shared" si="18"/>
        <v>0</v>
      </c>
      <c r="AC92" s="998"/>
      <c r="AD92" s="999"/>
    </row>
    <row r="93" spans="2:30" x14ac:dyDescent="0.2">
      <c r="C93" s="488" t="s">
        <v>491</v>
      </c>
      <c r="D93" s="495">
        <f>(D87-SUM(D89:D91)+D92)</f>
        <v>-475</v>
      </c>
      <c r="E93" s="495">
        <f>(E87-SUM(E89:E91)+E92)</f>
        <v>0</v>
      </c>
      <c r="F93" s="495">
        <f>(F87-SUM(F89:F91)+F92)</f>
        <v>0</v>
      </c>
      <c r="G93" s="495">
        <f>(G87-SUM(G89:G91)+G92)</f>
        <v>0</v>
      </c>
      <c r="I93" s="413"/>
      <c r="J93" s="465"/>
      <c r="K93" s="465"/>
      <c r="L93" s="465"/>
      <c r="M93" s="466"/>
      <c r="O93" s="488" t="str">
        <f t="shared" si="19"/>
        <v>LUCRO OPERACIONAL</v>
      </c>
      <c r="P93" s="495">
        <f t="shared" si="20"/>
        <v>-475</v>
      </c>
      <c r="Q93" s="508">
        <f t="shared" si="21"/>
        <v>-215.90909090909091</v>
      </c>
      <c r="R93" s="495">
        <f t="shared" si="16"/>
        <v>0</v>
      </c>
      <c r="S93" s="508" t="b">
        <f t="shared" si="21"/>
        <v>0</v>
      </c>
      <c r="T93" s="495">
        <f t="shared" si="23"/>
        <v>0</v>
      </c>
      <c r="U93" s="508" t="b">
        <f t="shared" si="17"/>
        <v>0</v>
      </c>
      <c r="V93" s="495">
        <f t="shared" si="22"/>
        <v>0</v>
      </c>
      <c r="W93" s="508" t="b">
        <f t="shared" si="18"/>
        <v>0</v>
      </c>
      <c r="AC93" s="998"/>
      <c r="AD93" s="999"/>
    </row>
    <row r="94" spans="2:30" x14ac:dyDescent="0.2">
      <c r="C94" s="514" t="s">
        <v>394</v>
      </c>
      <c r="D94" s="976">
        <f>D93+D85</f>
        <v>-245</v>
      </c>
      <c r="E94" s="976">
        <f>E93+E85</f>
        <v>0</v>
      </c>
      <c r="F94" s="976">
        <f>F93+F85</f>
        <v>0</v>
      </c>
      <c r="G94" s="976">
        <f>G93+G85</f>
        <v>0</v>
      </c>
      <c r="I94" s="413"/>
      <c r="J94" s="465"/>
      <c r="K94" s="465"/>
      <c r="L94" s="465"/>
      <c r="M94" s="466"/>
      <c r="O94" s="514" t="str">
        <f t="shared" si="19"/>
        <v>EBITDA</v>
      </c>
      <c r="P94" s="495">
        <f>IF(VALOR=1,D94/VLOOKUP(+$J$6,TABELA,2),IF(VALOR=2,D94/VLOOKUP(+$J$6,TABELA,3),D94/VLOOKUP($J$6,TABELA,4)))</f>
        <v>-245</v>
      </c>
      <c r="Q94" s="508">
        <f t="shared" si="21"/>
        <v>-111.36363636363636</v>
      </c>
      <c r="R94" s="495">
        <f>IF(VALOR=1,E94/VLOOKUP(+$J$7,TABELA,2),IF(VALOR=2,E94/VLOOKUP(+$J$7,TABELA,3),E94/VLOOKUP($J$7,TABELA,4)))</f>
        <v>0</v>
      </c>
      <c r="S94" s="508" t="b">
        <f t="shared" si="21"/>
        <v>0</v>
      </c>
      <c r="T94" s="495">
        <f>IF(VALOR=1,F94/VLOOKUP(+$J$8,TABELA,2),IF(VALOR=2,F94/VLOOKUP(+$J$8,TABELA,3),F94/VLOOKUP($J$8,TABELA,4)))</f>
        <v>0</v>
      </c>
      <c r="U94" s="508" t="b">
        <f t="shared" si="17"/>
        <v>0</v>
      </c>
      <c r="V94" s="495">
        <f>IF(VALOR=1,G94/VLOOKUP(+$J$9,TABELA,2),IF(VALOR=2,G94/VLOOKUP(+$J$9,TABELA,3),G94/VLOOKUP($J$9,TABELA,4)))</f>
        <v>0</v>
      </c>
      <c r="W94" s="508" t="b">
        <f t="shared" si="18"/>
        <v>0</v>
      </c>
      <c r="AC94" s="407"/>
      <c r="AD94" s="408"/>
    </row>
    <row r="95" spans="2:30" ht="12.75" customHeight="1" x14ac:dyDescent="0.2">
      <c r="C95" s="965" t="s">
        <v>492</v>
      </c>
      <c r="D95" s="502">
        <v>255</v>
      </c>
      <c r="E95" s="502"/>
      <c r="F95" s="502"/>
      <c r="G95" s="502"/>
      <c r="I95" s="413"/>
      <c r="J95" s="465"/>
      <c r="K95" s="465"/>
      <c r="L95" s="465"/>
      <c r="M95" s="466"/>
      <c r="O95" s="471" t="str">
        <f t="shared" si="19"/>
        <v>DESPESA FINANCEIRA</v>
      </c>
      <c r="P95" s="502">
        <f t="shared" si="20"/>
        <v>255</v>
      </c>
      <c r="Q95" s="515">
        <f t="shared" si="21"/>
        <v>115.90909090909092</v>
      </c>
      <c r="R95" s="502">
        <f t="shared" si="16"/>
        <v>0</v>
      </c>
      <c r="S95" s="515" t="b">
        <f t="shared" si="21"/>
        <v>0</v>
      </c>
      <c r="T95" s="502">
        <f t="shared" si="23"/>
        <v>0</v>
      </c>
      <c r="U95" s="515" t="b">
        <f t="shared" si="17"/>
        <v>0</v>
      </c>
      <c r="V95" s="502">
        <f t="shared" si="22"/>
        <v>0</v>
      </c>
      <c r="W95" s="515" t="b">
        <f t="shared" si="18"/>
        <v>0</v>
      </c>
      <c r="AC95" s="1000" t="s">
        <v>418</v>
      </c>
      <c r="AD95" s="1001"/>
    </row>
    <row r="96" spans="2:30" x14ac:dyDescent="0.2">
      <c r="C96" s="966" t="s">
        <v>493</v>
      </c>
      <c r="D96" s="504">
        <v>260</v>
      </c>
      <c r="E96" s="504"/>
      <c r="F96" s="504"/>
      <c r="G96" s="504"/>
      <c r="I96" s="413"/>
      <c r="J96" s="465"/>
      <c r="K96" s="465"/>
      <c r="L96" s="465"/>
      <c r="M96" s="466"/>
      <c r="O96" s="475" t="str">
        <f t="shared" si="19"/>
        <v>RECEITA FINANCEIRA</v>
      </c>
      <c r="P96" s="504">
        <f t="shared" si="20"/>
        <v>260</v>
      </c>
      <c r="Q96" s="506">
        <f t="shared" si="21"/>
        <v>118.18181818181819</v>
      </c>
      <c r="R96" s="504">
        <f t="shared" si="16"/>
        <v>0</v>
      </c>
      <c r="S96" s="506" t="b">
        <f t="shared" si="21"/>
        <v>0</v>
      </c>
      <c r="T96" s="504">
        <f t="shared" si="23"/>
        <v>0</v>
      </c>
      <c r="U96" s="506" t="b">
        <f t="shared" si="17"/>
        <v>0</v>
      </c>
      <c r="V96" s="504">
        <f t="shared" si="22"/>
        <v>0</v>
      </c>
      <c r="W96" s="506" t="b">
        <f t="shared" si="18"/>
        <v>0</v>
      </c>
      <c r="Y96" s="494"/>
      <c r="AC96" s="1002"/>
      <c r="AD96" s="1003"/>
    </row>
    <row r="97" spans="2:30" x14ac:dyDescent="0.2">
      <c r="C97" s="966" t="s">
        <v>892</v>
      </c>
      <c r="D97" s="504">
        <v>265</v>
      </c>
      <c r="E97" s="504"/>
      <c r="F97" s="504"/>
      <c r="G97" s="504"/>
      <c r="I97" s="413"/>
      <c r="J97" s="465"/>
      <c r="K97" s="465"/>
      <c r="L97" s="465"/>
      <c r="M97" s="466"/>
      <c r="O97" s="475" t="str">
        <f t="shared" si="19"/>
        <v>OUTRAS RECEITAS / DESPESAS</v>
      </c>
      <c r="P97" s="504">
        <f t="shared" si="20"/>
        <v>265</v>
      </c>
      <c r="Q97" s="506">
        <f t="shared" si="21"/>
        <v>120.45454545454545</v>
      </c>
      <c r="R97" s="504">
        <f t="shared" si="16"/>
        <v>0</v>
      </c>
      <c r="S97" s="506" t="b">
        <f t="shared" si="21"/>
        <v>0</v>
      </c>
      <c r="T97" s="504">
        <f t="shared" si="23"/>
        <v>0</v>
      </c>
      <c r="U97" s="506" t="b">
        <f t="shared" si="17"/>
        <v>0</v>
      </c>
      <c r="V97" s="504">
        <f t="shared" si="22"/>
        <v>0</v>
      </c>
      <c r="W97" s="506" t="b">
        <f t="shared" si="18"/>
        <v>0</v>
      </c>
      <c r="AC97" s="996"/>
      <c r="AD97" s="997"/>
    </row>
    <row r="98" spans="2:30" x14ac:dyDescent="0.2">
      <c r="C98" s="968" t="s">
        <v>494</v>
      </c>
      <c r="D98" s="512">
        <v>270</v>
      </c>
      <c r="E98" s="512"/>
      <c r="F98" s="512"/>
      <c r="G98" s="512"/>
      <c r="I98" s="413"/>
      <c r="J98" s="465"/>
      <c r="K98" s="465"/>
      <c r="L98" s="465"/>
      <c r="M98" s="466"/>
      <c r="O98" s="483" t="str">
        <f t="shared" si="19"/>
        <v>IMPOSTOS DIFERIDOS</v>
      </c>
      <c r="P98" s="512">
        <f t="shared" si="20"/>
        <v>270</v>
      </c>
      <c r="Q98" s="513">
        <f t="shared" si="21"/>
        <v>122.72727272727273</v>
      </c>
      <c r="R98" s="512">
        <f t="shared" si="16"/>
        <v>0</v>
      </c>
      <c r="S98" s="513" t="b">
        <f t="shared" si="21"/>
        <v>0</v>
      </c>
      <c r="T98" s="512">
        <f t="shared" si="23"/>
        <v>0</v>
      </c>
      <c r="U98" s="513" t="b">
        <f t="shared" si="17"/>
        <v>0</v>
      </c>
      <c r="V98" s="512">
        <f t="shared" si="22"/>
        <v>0</v>
      </c>
      <c r="W98" s="513" t="b">
        <f t="shared" si="18"/>
        <v>0</v>
      </c>
      <c r="AC98" s="998"/>
      <c r="AD98" s="999"/>
    </row>
    <row r="99" spans="2:30" x14ac:dyDescent="0.2">
      <c r="C99" s="488" t="s">
        <v>495</v>
      </c>
      <c r="D99" s="495">
        <f>(D93-D95+D96+D97+D98)</f>
        <v>65</v>
      </c>
      <c r="E99" s="495">
        <f>(E93-E95+E96+E97+E98)</f>
        <v>0</v>
      </c>
      <c r="F99" s="495">
        <f>(F93-F95+F96+F97+F98)</f>
        <v>0</v>
      </c>
      <c r="G99" s="495">
        <f>(G93-G95+G96+G97+G98)</f>
        <v>0</v>
      </c>
      <c r="I99" s="413"/>
      <c r="J99" s="465"/>
      <c r="K99" s="465"/>
      <c r="L99" s="465"/>
      <c r="M99" s="466"/>
      <c r="O99" s="488" t="str">
        <f t="shared" si="19"/>
        <v>LUCRO APÓS VARIAÇÃO FINANCEIRA</v>
      </c>
      <c r="P99" s="495">
        <f t="shared" si="20"/>
        <v>65</v>
      </c>
      <c r="Q99" s="508">
        <f t="shared" si="21"/>
        <v>29.545454545454547</v>
      </c>
      <c r="R99" s="495">
        <f t="shared" si="16"/>
        <v>0</v>
      </c>
      <c r="S99" s="508" t="b">
        <f t="shared" si="21"/>
        <v>0</v>
      </c>
      <c r="T99" s="495">
        <f t="shared" si="23"/>
        <v>0</v>
      </c>
      <c r="U99" s="508" t="b">
        <f t="shared" si="17"/>
        <v>0</v>
      </c>
      <c r="V99" s="495">
        <f t="shared" si="22"/>
        <v>0</v>
      </c>
      <c r="W99" s="508" t="b">
        <f t="shared" si="18"/>
        <v>0</v>
      </c>
      <c r="AC99" s="998"/>
      <c r="AD99" s="999"/>
    </row>
    <row r="100" spans="2:30" x14ac:dyDescent="0.2">
      <c r="C100" s="966"/>
      <c r="D100" s="502"/>
      <c r="E100" s="502"/>
      <c r="F100" s="502"/>
      <c r="G100" s="502"/>
      <c r="I100" s="413"/>
      <c r="J100" s="465"/>
      <c r="K100" s="465"/>
      <c r="L100" s="465"/>
      <c r="M100" s="466"/>
      <c r="O100" s="471">
        <f t="shared" si="19"/>
        <v>0</v>
      </c>
      <c r="P100" s="502">
        <f t="shared" si="20"/>
        <v>0</v>
      </c>
      <c r="Q100" s="515">
        <f t="shared" si="21"/>
        <v>0</v>
      </c>
      <c r="R100" s="502">
        <f t="shared" si="16"/>
        <v>0</v>
      </c>
      <c r="S100" s="515" t="b">
        <f t="shared" si="21"/>
        <v>0</v>
      </c>
      <c r="T100" s="502">
        <f t="shared" si="23"/>
        <v>0</v>
      </c>
      <c r="U100" s="515" t="b">
        <f t="shared" si="17"/>
        <v>0</v>
      </c>
      <c r="V100" s="502">
        <f t="shared" si="22"/>
        <v>0</v>
      </c>
      <c r="W100" s="515" t="b">
        <f t="shared" si="18"/>
        <v>0</v>
      </c>
      <c r="AC100" s="998"/>
      <c r="AD100" s="999"/>
    </row>
    <row r="101" spans="2:30" x14ac:dyDescent="0.2">
      <c r="C101" s="966" t="s">
        <v>893</v>
      </c>
      <c r="D101" s="504">
        <v>275</v>
      </c>
      <c r="E101" s="504"/>
      <c r="F101" s="504"/>
      <c r="G101" s="504"/>
      <c r="I101" s="413"/>
      <c r="J101" s="465"/>
      <c r="K101" s="465"/>
      <c r="L101" s="465"/>
      <c r="M101" s="466"/>
      <c r="O101" s="475" t="str">
        <f t="shared" si="19"/>
        <v>RESULTADO NÃO OPERACIONAL</v>
      </c>
      <c r="P101" s="504">
        <f t="shared" si="20"/>
        <v>275</v>
      </c>
      <c r="Q101" s="506">
        <f t="shared" si="21"/>
        <v>125</v>
      </c>
      <c r="R101" s="504">
        <f t="shared" si="16"/>
        <v>0</v>
      </c>
      <c r="S101" s="506" t="b">
        <f t="shared" si="21"/>
        <v>0</v>
      </c>
      <c r="T101" s="504">
        <f t="shared" si="23"/>
        <v>0</v>
      </c>
      <c r="U101" s="506" t="b">
        <f t="shared" si="17"/>
        <v>0</v>
      </c>
      <c r="V101" s="504">
        <f t="shared" si="22"/>
        <v>0</v>
      </c>
      <c r="W101" s="506" t="b">
        <f t="shared" si="18"/>
        <v>0</v>
      </c>
      <c r="AC101" s="998"/>
      <c r="AD101" s="999"/>
    </row>
    <row r="102" spans="2:30" x14ac:dyDescent="0.2">
      <c r="C102" s="966" t="s">
        <v>894</v>
      </c>
      <c r="D102" s="512">
        <v>280</v>
      </c>
      <c r="E102" s="512"/>
      <c r="F102" s="512"/>
      <c r="G102" s="512"/>
      <c r="I102" s="413"/>
      <c r="J102" s="465"/>
      <c r="K102" s="465"/>
      <c r="L102" s="465"/>
      <c r="M102" s="466"/>
      <c r="O102" s="483" t="str">
        <f t="shared" si="19"/>
        <v>EQUIVALENCIA PATRIMONIAL</v>
      </c>
      <c r="P102" s="512">
        <f t="shared" si="20"/>
        <v>280</v>
      </c>
      <c r="Q102" s="513">
        <f t="shared" si="21"/>
        <v>127.27272727272727</v>
      </c>
      <c r="R102" s="512">
        <f t="shared" si="16"/>
        <v>0</v>
      </c>
      <c r="S102" s="513" t="b">
        <f t="shared" si="21"/>
        <v>0</v>
      </c>
      <c r="T102" s="512">
        <f t="shared" si="23"/>
        <v>0</v>
      </c>
      <c r="U102" s="513" t="b">
        <f t="shared" si="17"/>
        <v>0</v>
      </c>
      <c r="V102" s="512">
        <f t="shared" si="22"/>
        <v>0</v>
      </c>
      <c r="W102" s="513" t="b">
        <f t="shared" si="18"/>
        <v>0</v>
      </c>
      <c r="AC102" s="998"/>
      <c r="AD102" s="999"/>
    </row>
    <row r="103" spans="2:30" x14ac:dyDescent="0.2">
      <c r="C103" s="488" t="s">
        <v>496</v>
      </c>
      <c r="D103" s="495">
        <f>(D99+D100+D101+D102)</f>
        <v>620</v>
      </c>
      <c r="E103" s="495">
        <f>(E99+E100+E101+E102)</f>
        <v>0</v>
      </c>
      <c r="F103" s="495">
        <f>(F99+F100+F101+F102)</f>
        <v>0</v>
      </c>
      <c r="G103" s="495">
        <f>(G99+G100+G101+G102)</f>
        <v>0</v>
      </c>
      <c r="I103" s="413"/>
      <c r="J103" s="465"/>
      <c r="K103" s="465"/>
      <c r="L103" s="465"/>
      <c r="M103" s="466"/>
      <c r="O103" s="488" t="str">
        <f t="shared" si="19"/>
        <v>LUCRO ANTES DOS IMPOSTOS</v>
      </c>
      <c r="P103" s="495">
        <f t="shared" si="20"/>
        <v>620</v>
      </c>
      <c r="Q103" s="508">
        <f t="shared" si="21"/>
        <v>281.81818181818181</v>
      </c>
      <c r="R103" s="495">
        <f t="shared" si="16"/>
        <v>0</v>
      </c>
      <c r="S103" s="508" t="b">
        <f t="shared" si="21"/>
        <v>0</v>
      </c>
      <c r="T103" s="495">
        <f t="shared" si="23"/>
        <v>0</v>
      </c>
      <c r="U103" s="508" t="b">
        <f t="shared" si="17"/>
        <v>0</v>
      </c>
      <c r="V103" s="495">
        <f t="shared" si="22"/>
        <v>0</v>
      </c>
      <c r="W103" s="508" t="b">
        <f t="shared" si="18"/>
        <v>0</v>
      </c>
      <c r="AC103" s="998"/>
      <c r="AD103" s="999"/>
    </row>
    <row r="104" spans="2:30" x14ac:dyDescent="0.2">
      <c r="C104" s="965" t="s">
        <v>497</v>
      </c>
      <c r="D104" s="502">
        <v>285</v>
      </c>
      <c r="E104" s="502"/>
      <c r="F104" s="502"/>
      <c r="G104" s="502"/>
      <c r="I104" s="413"/>
      <c r="J104" s="465"/>
      <c r="K104" s="465"/>
      <c r="L104" s="465"/>
      <c r="M104" s="466"/>
      <c r="O104" s="471" t="str">
        <f t="shared" si="19"/>
        <v>IRPJ</v>
      </c>
      <c r="P104" s="502">
        <f t="shared" si="20"/>
        <v>285</v>
      </c>
      <c r="Q104" s="515">
        <f t="shared" si="21"/>
        <v>129.54545454545453</v>
      </c>
      <c r="R104" s="502">
        <f t="shared" si="16"/>
        <v>0</v>
      </c>
      <c r="S104" s="515" t="b">
        <f t="shared" si="21"/>
        <v>0</v>
      </c>
      <c r="T104" s="502">
        <f t="shared" si="23"/>
        <v>0</v>
      </c>
      <c r="U104" s="515" t="b">
        <f t="shared" si="17"/>
        <v>0</v>
      </c>
      <c r="V104" s="502">
        <f t="shared" si="22"/>
        <v>0</v>
      </c>
      <c r="W104" s="515" t="b">
        <f t="shared" si="18"/>
        <v>0</v>
      </c>
      <c r="AC104" s="998"/>
      <c r="AD104" s="999"/>
    </row>
    <row r="105" spans="2:30" ht="12.75" customHeight="1" x14ac:dyDescent="0.2">
      <c r="C105" s="968" t="s">
        <v>498</v>
      </c>
      <c r="D105" s="512">
        <v>290</v>
      </c>
      <c r="E105" s="512"/>
      <c r="F105" s="512"/>
      <c r="G105" s="512"/>
      <c r="I105" s="413"/>
      <c r="J105" s="465"/>
      <c r="K105" s="465"/>
      <c r="L105" s="465"/>
      <c r="M105" s="466"/>
      <c r="O105" s="483" t="str">
        <f t="shared" si="19"/>
        <v>CSLL</v>
      </c>
      <c r="P105" s="512">
        <f t="shared" si="20"/>
        <v>290</v>
      </c>
      <c r="Q105" s="513">
        <f t="shared" si="21"/>
        <v>131.81818181818181</v>
      </c>
      <c r="R105" s="512">
        <f t="shared" si="16"/>
        <v>0</v>
      </c>
      <c r="S105" s="513" t="b">
        <f t="shared" si="21"/>
        <v>0</v>
      </c>
      <c r="T105" s="512">
        <f t="shared" si="23"/>
        <v>0</v>
      </c>
      <c r="U105" s="513" t="b">
        <f t="shared" si="17"/>
        <v>0</v>
      </c>
      <c r="V105" s="512">
        <f t="shared" si="22"/>
        <v>0</v>
      </c>
      <c r="W105" s="513" t="b">
        <f t="shared" si="18"/>
        <v>0</v>
      </c>
      <c r="AC105" s="1000" t="s">
        <v>418</v>
      </c>
      <c r="AD105" s="1001"/>
    </row>
    <row r="106" spans="2:30" x14ac:dyDescent="0.2">
      <c r="C106" s="488" t="s">
        <v>499</v>
      </c>
      <c r="D106" s="495">
        <f>(D103-D104-D105)</f>
        <v>45</v>
      </c>
      <c r="E106" s="495">
        <f>(E103-E104-E105)</f>
        <v>0</v>
      </c>
      <c r="F106" s="495">
        <f>(F103-F104-F105)</f>
        <v>0</v>
      </c>
      <c r="G106" s="495">
        <f>(G103-G104-G105)</f>
        <v>0</v>
      </c>
      <c r="I106" s="413"/>
      <c r="J106" s="465"/>
      <c r="K106" s="465"/>
      <c r="L106" s="465"/>
      <c r="M106" s="466"/>
      <c r="O106" s="488" t="str">
        <f t="shared" si="19"/>
        <v>LUCRO LÍQUIDO</v>
      </c>
      <c r="P106" s="495">
        <f t="shared" si="20"/>
        <v>45</v>
      </c>
      <c r="Q106" s="508">
        <f t="shared" si="21"/>
        <v>20.454545454545457</v>
      </c>
      <c r="R106" s="495">
        <f t="shared" si="16"/>
        <v>0</v>
      </c>
      <c r="S106" s="508" t="b">
        <f t="shared" si="21"/>
        <v>0</v>
      </c>
      <c r="T106" s="495">
        <f t="shared" si="23"/>
        <v>0</v>
      </c>
      <c r="U106" s="508" t="b">
        <f t="shared" si="17"/>
        <v>0</v>
      </c>
      <c r="V106" s="495">
        <f t="shared" si="22"/>
        <v>0</v>
      </c>
      <c r="W106" s="508" t="b">
        <f t="shared" si="18"/>
        <v>0</v>
      </c>
      <c r="AC106" s="1002"/>
      <c r="AD106" s="1003"/>
    </row>
    <row r="107" spans="2:30" x14ac:dyDescent="0.2">
      <c r="C107" s="965"/>
      <c r="D107" s="502"/>
      <c r="E107" s="502"/>
      <c r="F107" s="502"/>
      <c r="G107" s="502"/>
      <c r="I107" s="413"/>
      <c r="J107" s="465"/>
      <c r="K107" s="465"/>
      <c r="L107" s="465"/>
      <c r="M107" s="466"/>
      <c r="O107" s="471">
        <f t="shared" si="19"/>
        <v>0</v>
      </c>
      <c r="P107" s="502">
        <f>IF(VALOR=1,D107/VLOOKUP(+$J$6,TABELA,2),IF(VALOR=2,D107/VLOOKUP(+$J$6,TABELA,3),D107/VLOOKUP($J$6,TABELA,2)))</f>
        <v>0</v>
      </c>
      <c r="Q107" s="515">
        <f t="shared" si="21"/>
        <v>0</v>
      </c>
      <c r="R107" s="502">
        <f>IF(VALOR=1,E107/VLOOKUP(+$J$7,TABELA,2),IF(VALOR=2,E107/VLOOKUP(+$J$7,TABELA,3),E107/VLOOKUP($J$7,TABELA,2)))</f>
        <v>0</v>
      </c>
      <c r="S107" s="515" t="b">
        <f t="shared" si="21"/>
        <v>0</v>
      </c>
      <c r="T107" s="502">
        <f>IF(VALOR=1,F107/VLOOKUP(+$J$8,TABELA,2),IF(VALOR=2,F107/VLOOKUP(+$J$8,TABELA,3),F107/VLOOKUP($J$8,TABELA,2)))</f>
        <v>0</v>
      </c>
      <c r="U107" s="515" t="b">
        <f t="shared" si="17"/>
        <v>0</v>
      </c>
      <c r="V107" s="502">
        <f>IF(VALOR=1,G107/VLOOKUP(+$J$9,TABELA,2),IF(VALOR=2,G107/VLOOKUP(+$J$9,TABELA,3),G107/VLOOKUP($J$9,TABELA,2)))</f>
        <v>0</v>
      </c>
      <c r="W107" s="515" t="b">
        <f t="shared" si="18"/>
        <v>0</v>
      </c>
      <c r="AC107" s="996"/>
      <c r="AD107" s="997"/>
    </row>
    <row r="108" spans="2:30" x14ac:dyDescent="0.2">
      <c r="C108" s="966" t="s">
        <v>477</v>
      </c>
      <c r="D108" s="504">
        <v>295</v>
      </c>
      <c r="E108" s="504"/>
      <c r="F108" s="504"/>
      <c r="G108" s="504"/>
      <c r="I108" s="413"/>
      <c r="J108" s="465"/>
      <c r="K108" s="465"/>
      <c r="L108" s="465"/>
      <c r="M108" s="466"/>
      <c r="O108" s="475" t="str">
        <f t="shared" si="19"/>
        <v>PARTICIPAÇÃO MINORITÁRIA</v>
      </c>
      <c r="P108" s="504">
        <f>IF(VALOR=1,D108/VLOOKUP(+$J$6,TABELA,2),IF(VALOR=2,D108/VLOOKUP(+$J$6,TABELA,3),D108/VLOOKUP($J$6,TABELA,4)))</f>
        <v>295</v>
      </c>
      <c r="Q108" s="506">
        <f t="shared" si="21"/>
        <v>134.09090909090909</v>
      </c>
      <c r="R108" s="504">
        <f>IF(VALOR=1,E108/VLOOKUP(+$J$7,TABELA,2),IF(VALOR=2,E108/VLOOKUP(+$J$7,TABELA,3),E108/VLOOKUP($J$7,TABELA,4)))</f>
        <v>0</v>
      </c>
      <c r="S108" s="506" t="b">
        <f t="shared" si="21"/>
        <v>0</v>
      </c>
      <c r="T108" s="504">
        <f>IF(VALOR=1,F108/VLOOKUP(+$J$8,TABELA,2),IF(VALOR=2,F108/VLOOKUP(+$J$8,TABELA,3),F108/VLOOKUP($J$8,TABELA,4)))</f>
        <v>0</v>
      </c>
      <c r="U108" s="506" t="b">
        <f t="shared" si="17"/>
        <v>0</v>
      </c>
      <c r="V108" s="504">
        <f>IF(VALOR=1,G108/VLOOKUP(+$J$9,TABELA,2),IF(VALOR=2,G108/VLOOKUP(+$J$9,TABELA,3),G108/VLOOKUP($J$9,TABELA,4)))</f>
        <v>0</v>
      </c>
      <c r="W108" s="506" t="b">
        <f t="shared" si="18"/>
        <v>0</v>
      </c>
      <c r="AC108" s="998"/>
      <c r="AD108" s="999"/>
    </row>
    <row r="109" spans="2:30" x14ac:dyDescent="0.2">
      <c r="B109" s="507" t="s">
        <v>473</v>
      </c>
      <c r="C109" s="938"/>
      <c r="D109" s="512"/>
      <c r="E109" s="512"/>
      <c r="F109" s="512"/>
      <c r="G109" s="512"/>
      <c r="I109" s="413"/>
      <c r="J109" s="465"/>
      <c r="K109" s="465"/>
      <c r="L109" s="465"/>
      <c r="M109" s="466"/>
      <c r="O109" s="483">
        <f t="shared" si="19"/>
        <v>0</v>
      </c>
      <c r="P109" s="512">
        <f>P110-P106-P107-P108</f>
        <v>0</v>
      </c>
      <c r="Q109" s="513">
        <f t="shared" si="21"/>
        <v>0</v>
      </c>
      <c r="R109" s="512">
        <f>R110-R106-R107-R108</f>
        <v>0</v>
      </c>
      <c r="S109" s="513" t="b">
        <f t="shared" si="21"/>
        <v>0</v>
      </c>
      <c r="T109" s="512">
        <f>T110-T106-T107-T108</f>
        <v>0</v>
      </c>
      <c r="U109" s="513" t="b">
        <f t="shared" si="17"/>
        <v>0</v>
      </c>
      <c r="V109" s="512">
        <f>V110-V106-V107-V108</f>
        <v>0</v>
      </c>
      <c r="W109" s="513" t="b">
        <f t="shared" si="18"/>
        <v>0</v>
      </c>
      <c r="AC109" s="998"/>
      <c r="AD109" s="999"/>
    </row>
    <row r="110" spans="2:30" ht="12" thickBot="1" x14ac:dyDescent="0.25">
      <c r="C110" s="488" t="s">
        <v>499</v>
      </c>
      <c r="D110" s="495">
        <f>(D106+D107+D108+D109)</f>
        <v>340</v>
      </c>
      <c r="E110" s="495">
        <f>(E106+E107+E108+E109)</f>
        <v>0</v>
      </c>
      <c r="F110" s="495">
        <f>(F106+F107+F108+F109)</f>
        <v>0</v>
      </c>
      <c r="G110" s="495">
        <f>(G106+G107+G108+G109)</f>
        <v>0</v>
      </c>
      <c r="I110" s="454"/>
      <c r="J110" s="455"/>
      <c r="K110" s="455"/>
      <c r="L110" s="455"/>
      <c r="M110" s="456"/>
      <c r="O110" s="488" t="str">
        <f t="shared" si="19"/>
        <v>LUCRO LÍQUIDO</v>
      </c>
      <c r="P110" s="495">
        <f>IF(VALOR=1,D110/VLOOKUP(+$J$6,TABELA,2),IF(VALOR=2,D110/VLOOKUP(+$J$6,TABELA,3),D110/VLOOKUP($J$6,TABELA,2)))</f>
        <v>340</v>
      </c>
      <c r="Q110" s="508">
        <f t="shared" si="21"/>
        <v>154.54545454545453</v>
      </c>
      <c r="R110" s="495">
        <f>IF(VALOR=1,E110/VLOOKUP(+$J$7,TABELA,2),IF(VALOR=2,E110/VLOOKUP(+$J$7,TABELA,3),E110/VLOOKUP($J$7,TABELA,2)))</f>
        <v>0</v>
      </c>
      <c r="S110" s="508" t="b">
        <f t="shared" si="21"/>
        <v>0</v>
      </c>
      <c r="T110" s="495">
        <f>IF(VALOR=1,F110/VLOOKUP(+$J$8,TABELA,2),IF(VALOR=2,F110/VLOOKUP(+$J$8,TABELA,3),F110/VLOOKUP($J$8,TABELA,2)))</f>
        <v>0</v>
      </c>
      <c r="U110" s="508" t="b">
        <f t="shared" si="17"/>
        <v>0</v>
      </c>
      <c r="V110" s="495">
        <f>IF(VALOR=1,G110/VLOOKUP(+$J$9,TABELA,2),IF(VALOR=2,G110/VLOOKUP(+$J$9,TABELA,3),G110/VLOOKUP($J$9,TABELA,2)))</f>
        <v>0</v>
      </c>
      <c r="W110" s="508" t="b">
        <f t="shared" si="18"/>
        <v>0</v>
      </c>
      <c r="Y110" s="516"/>
      <c r="AC110" s="998"/>
      <c r="AD110" s="999"/>
    </row>
    <row r="111" spans="2:30" ht="12" thickBot="1" x14ac:dyDescent="0.25">
      <c r="C111" s="405" t="s">
        <v>666</v>
      </c>
      <c r="D111" s="498">
        <f>D36-D62</f>
        <v>-1360</v>
      </c>
      <c r="E111" s="498">
        <f>E36-E62</f>
        <v>-13600</v>
      </c>
      <c r="F111" s="498">
        <f>F36-F62</f>
        <v>-136000</v>
      </c>
      <c r="G111" s="498">
        <f>G36-G62</f>
        <v>-20000</v>
      </c>
      <c r="O111" s="405" t="str">
        <f t="shared" si="19"/>
        <v>WC</v>
      </c>
      <c r="AC111" s="998"/>
      <c r="AD111" s="999"/>
    </row>
    <row r="112" spans="2:30" ht="12" thickBot="1" x14ac:dyDescent="0.25">
      <c r="C112" s="517"/>
      <c r="D112" s="518" t="s">
        <v>251</v>
      </c>
      <c r="E112" s="518"/>
      <c r="F112" s="518"/>
      <c r="G112" s="518"/>
      <c r="I112" s="460"/>
      <c r="J112" s="461"/>
      <c r="K112" s="461"/>
      <c r="L112" s="461"/>
      <c r="M112" s="462"/>
      <c r="O112" s="497" t="s">
        <v>482</v>
      </c>
      <c r="P112" s="519">
        <f>IF(VALOR=1,VLOOKUP(+$J$6,TABELA,2),IF(VALOR=2,VLOOKUP(+$J$6,TABELA,3),VLOOKUP($J$6,TABELA,4)))</f>
        <v>1</v>
      </c>
      <c r="Q112" s="519"/>
      <c r="R112" s="519">
        <f>IF(VALOR=1,VLOOKUP(+$J$7,TABELA,2),IF(VALOR=2,VLOOKUP(+$J$7,TABELA,3),VLOOKUP($J$7,TABELA,4)))</f>
        <v>1</v>
      </c>
      <c r="S112" s="519"/>
      <c r="T112" s="519">
        <f>IF(VALOR=1,VLOOKUP(+$J$8,TABELA,2),IF(VALOR=2,VLOOKUP(+$J$8,TABELA,3),VLOOKUP($J$8,TABELA,4)))</f>
        <v>1</v>
      </c>
      <c r="U112" s="519"/>
      <c r="V112" s="519">
        <f>IF(VALOR=1,VLOOKUP(+$J$9,TABELA,2),IF(VALOR=2,VLOOKUP(+$J$9,TABELA,3),VLOOKUP($J$9,TABELA,4)))</f>
        <v>1</v>
      </c>
      <c r="W112" s="519"/>
      <c r="AC112" s="998"/>
      <c r="AD112" s="999"/>
    </row>
    <row r="113" spans="3:30" x14ac:dyDescent="0.2">
      <c r="E113" s="498">
        <f>E111-D111</f>
        <v>-12240</v>
      </c>
      <c r="F113" s="498">
        <f>F111-E111</f>
        <v>-122400</v>
      </c>
      <c r="G113" s="498">
        <f>G111-F111</f>
        <v>116000</v>
      </c>
      <c r="AC113" s="998"/>
      <c r="AD113" s="999"/>
    </row>
    <row r="114" spans="3:30" ht="12" thickBot="1" x14ac:dyDescent="0.25">
      <c r="C114" s="520" t="s">
        <v>500</v>
      </c>
      <c r="D114" s="521"/>
      <c r="E114" s="790">
        <f>E110+E85+E113</f>
        <v>-12240</v>
      </c>
      <c r="F114" s="790">
        <f>F110+F85+F113</f>
        <v>-122400</v>
      </c>
      <c r="G114" s="790">
        <f>G110+G85+G113</f>
        <v>116000</v>
      </c>
      <c r="O114" s="1033" t="str">
        <f>+C114</f>
        <v>ANALISE HORIZONTAL</v>
      </c>
      <c r="P114" s="1033"/>
      <c r="Q114" s="1033"/>
      <c r="R114" s="1033"/>
      <c r="S114" s="1033"/>
      <c r="T114" s="1033"/>
      <c r="U114" s="1033"/>
      <c r="V114" s="1033"/>
      <c r="W114" s="1033"/>
      <c r="AC114" s="998"/>
      <c r="AD114" s="999"/>
    </row>
    <row r="115" spans="3:30" ht="12.75" customHeight="1" x14ac:dyDescent="0.2">
      <c r="C115" s="520"/>
      <c r="D115" s="521"/>
      <c r="E115" s="522">
        <f>+E163</f>
        <v>42735</v>
      </c>
      <c r="F115" s="522">
        <f>+F163</f>
        <v>43100</v>
      </c>
      <c r="G115" s="523">
        <f>+G163</f>
        <v>43465</v>
      </c>
      <c r="I115" s="410"/>
      <c r="J115" s="450"/>
      <c r="K115" s="450"/>
      <c r="L115" s="450"/>
      <c r="M115" s="451"/>
      <c r="O115" s="520"/>
      <c r="R115" s="1034">
        <f>+E115</f>
        <v>42735</v>
      </c>
      <c r="S115" s="1034"/>
      <c r="T115" s="1034">
        <f>+F115</f>
        <v>43100</v>
      </c>
      <c r="U115" s="1034"/>
      <c r="V115" s="1034">
        <f>+G115</f>
        <v>43465</v>
      </c>
      <c r="W115" s="1034"/>
      <c r="AC115" s="1000" t="s">
        <v>418</v>
      </c>
      <c r="AD115" s="1001"/>
    </row>
    <row r="116" spans="3:30" x14ac:dyDescent="0.2">
      <c r="C116" s="525" t="s">
        <v>501</v>
      </c>
      <c r="D116" s="526"/>
      <c r="E116" s="527">
        <f>+(E47/D47)-1</f>
        <v>9</v>
      </c>
      <c r="F116" s="527">
        <f>+(F47/E47)-1</f>
        <v>9</v>
      </c>
      <c r="G116" s="527">
        <f>+(G47/F47)-1</f>
        <v>7.1052631578947363</v>
      </c>
      <c r="I116" s="413"/>
      <c r="J116" s="465"/>
      <c r="K116" s="465"/>
      <c r="L116" s="465"/>
      <c r="M116" s="466"/>
      <c r="O116" s="525" t="str">
        <f>+C116</f>
        <v>TOTAL DE ATIVOS</v>
      </c>
      <c r="P116" s="528"/>
      <c r="Q116" s="529"/>
      <c r="R116" s="530">
        <f>+(R47/P47)-1</f>
        <v>9</v>
      </c>
      <c r="S116" s="529"/>
      <c r="T116" s="530">
        <f>+(T47/R47)-1</f>
        <v>9</v>
      </c>
      <c r="U116" s="529"/>
      <c r="V116" s="530">
        <f>+(V47/T47)-1</f>
        <v>7.1052631578947363</v>
      </c>
      <c r="W116" s="531"/>
      <c r="AC116" s="1002"/>
      <c r="AD116" s="1003"/>
    </row>
    <row r="117" spans="3:30" x14ac:dyDescent="0.2">
      <c r="C117" s="532" t="s">
        <v>502</v>
      </c>
      <c r="D117" s="533"/>
      <c r="E117" s="527">
        <f>+(E76/D76)-1</f>
        <v>-1</v>
      </c>
      <c r="F117" s="527" t="e">
        <f>+(F76/E76)-1</f>
        <v>#DIV/0!</v>
      </c>
      <c r="G117" s="527" t="e">
        <f>+(G76/F76)-1</f>
        <v>#DIV/0!</v>
      </c>
      <c r="I117" s="413"/>
      <c r="J117" s="465"/>
      <c r="K117" s="465"/>
      <c r="L117" s="465"/>
      <c r="M117" s="466"/>
      <c r="O117" s="532" t="str">
        <f t="shared" ref="O117:O122" si="24">+C117</f>
        <v>PATRIMONIO LIQUIDO</v>
      </c>
      <c r="P117" s="534"/>
      <c r="Q117" s="465"/>
      <c r="R117" s="535">
        <f>+(R76/P76)-1</f>
        <v>-1</v>
      </c>
      <c r="S117" s="465"/>
      <c r="T117" s="535" t="e">
        <f>+(T76/R76)-1</f>
        <v>#DIV/0!</v>
      </c>
      <c r="U117" s="465"/>
      <c r="V117" s="535" t="e">
        <f>+(V76/T76)-1</f>
        <v>#DIV/0!</v>
      </c>
      <c r="W117" s="536"/>
      <c r="AC117" s="996"/>
      <c r="AD117" s="997"/>
    </row>
    <row r="118" spans="3:30" x14ac:dyDescent="0.2">
      <c r="C118" s="537" t="s">
        <v>503</v>
      </c>
      <c r="D118" s="533"/>
      <c r="E118" s="527">
        <f>((((E83/$K$12)*30)/((D83/$K$11)*30)-1))</f>
        <v>-1</v>
      </c>
      <c r="F118" s="527" t="e">
        <f>((((F83/$K$13)*30)/((E83/$K$12)*30)-1))</f>
        <v>#DIV/0!</v>
      </c>
      <c r="G118" s="527">
        <f>(IFERROR(((((G83/$K$14)*30)/((F83/$K$13)*30)-1)),0))</f>
        <v>0</v>
      </c>
      <c r="I118" s="413"/>
      <c r="J118" s="465"/>
      <c r="K118" s="465"/>
      <c r="L118" s="465"/>
      <c r="M118" s="466"/>
      <c r="O118" s="537" t="str">
        <f t="shared" si="24"/>
        <v>LUCRO LIQUIDO</v>
      </c>
      <c r="P118" s="534"/>
      <c r="Q118" s="465"/>
      <c r="R118" s="535">
        <f>((((R83/$K$12)*30)/((P83/$K$11)*30)-1))</f>
        <v>-1</v>
      </c>
      <c r="S118" s="465"/>
      <c r="T118" s="535" t="e">
        <f>((((T83/$K$13)*30)/((R83/$K$12)*30)-1))</f>
        <v>#DIV/0!</v>
      </c>
      <c r="U118" s="465"/>
      <c r="V118" s="535" t="e">
        <f>((((V83/$K$14)*30)/((T83/$K$13)*30)-1))</f>
        <v>#DIV/0!</v>
      </c>
      <c r="W118" s="536"/>
      <c r="AC118" s="998"/>
      <c r="AD118" s="999"/>
    </row>
    <row r="119" spans="3:30" x14ac:dyDescent="0.2">
      <c r="C119" s="537" t="s">
        <v>485</v>
      </c>
      <c r="D119" s="533"/>
      <c r="E119" s="527">
        <f>+(E84/D84)-1</f>
        <v>-1</v>
      </c>
      <c r="F119" s="527" t="e">
        <f>+(F84/E84)-1</f>
        <v>#DIV/0!</v>
      </c>
      <c r="G119" s="527" t="e">
        <f>+(G84/F84)-1</f>
        <v>#DIV/0!</v>
      </c>
      <c r="I119" s="413"/>
      <c r="J119" s="465"/>
      <c r="K119" s="465"/>
      <c r="L119" s="465"/>
      <c r="M119" s="466"/>
      <c r="O119" s="537" t="str">
        <f t="shared" si="24"/>
        <v>CPV</v>
      </c>
      <c r="P119" s="534"/>
      <c r="Q119" s="465"/>
      <c r="R119" s="535">
        <f>((((R84/$K$12)*30)/((P84/$K$11)*30)-1))</f>
        <v>-1</v>
      </c>
      <c r="S119" s="465"/>
      <c r="T119" s="535" t="e">
        <f>((((T84/$K$13)*30)/((R84/$K$12)*30)-1))</f>
        <v>#DIV/0!</v>
      </c>
      <c r="U119" s="465"/>
      <c r="V119" s="535" t="e">
        <f>((((V84/$K$14)*30)/((T84/$K$13)*30)-1))</f>
        <v>#DIV/0!</v>
      </c>
      <c r="W119" s="536"/>
      <c r="AC119" s="998"/>
      <c r="AD119" s="999"/>
    </row>
    <row r="120" spans="3:30" x14ac:dyDescent="0.2">
      <c r="C120" s="538" t="s">
        <v>488</v>
      </c>
      <c r="D120" s="533"/>
      <c r="E120" s="527">
        <f>+(E88/D88)-1</f>
        <v>-1</v>
      </c>
      <c r="F120" s="527" t="e">
        <f>+(F88/E88)-1</f>
        <v>#DIV/0!</v>
      </c>
      <c r="G120" s="527" t="e">
        <f>+(G88/F88)-1</f>
        <v>#DIV/0!</v>
      </c>
      <c r="I120" s="413"/>
      <c r="J120" s="465"/>
      <c r="K120" s="465"/>
      <c r="L120" s="465"/>
      <c r="M120" s="466"/>
      <c r="O120" s="538" t="str">
        <f t="shared" si="24"/>
        <v>DESPESAS OPERACIONAIS</v>
      </c>
      <c r="P120" s="534"/>
      <c r="Q120" s="465"/>
      <c r="R120" s="535">
        <f>((((R88/$K$12)*30)/((P88/$K$11)*30)-1))</f>
        <v>-1</v>
      </c>
      <c r="S120" s="465"/>
      <c r="T120" s="535" t="e">
        <f>((((T88/$K$13)*30)/((R88/$K$12)*30)-1))</f>
        <v>#DIV/0!</v>
      </c>
      <c r="U120" s="465"/>
      <c r="V120" s="535" t="e">
        <f>((((V88/$K$14)*30)/((T88/$K$13)*30)-1))</f>
        <v>#DIV/0!</v>
      </c>
      <c r="W120" s="536"/>
      <c r="AC120" s="998"/>
      <c r="AD120" s="999"/>
    </row>
    <row r="121" spans="3:30" x14ac:dyDescent="0.2">
      <c r="C121" s="537" t="s">
        <v>491</v>
      </c>
      <c r="D121" s="533"/>
      <c r="E121" s="527">
        <f>+(E93/D93)-1</f>
        <v>-1</v>
      </c>
      <c r="F121" s="527" t="e">
        <f>+(F93/E93)-1</f>
        <v>#DIV/0!</v>
      </c>
      <c r="G121" s="527" t="e">
        <f>+(G93/F93)-1</f>
        <v>#DIV/0!</v>
      </c>
      <c r="I121" s="413"/>
      <c r="J121" s="465"/>
      <c r="K121" s="465"/>
      <c r="L121" s="465"/>
      <c r="M121" s="466"/>
      <c r="O121" s="537" t="str">
        <f t="shared" si="24"/>
        <v>LUCRO OPERACIONAL</v>
      </c>
      <c r="P121" s="534"/>
      <c r="Q121" s="465"/>
      <c r="R121" s="535">
        <f>((((R93/$K$12)*30)/((P93/$K$11)*30)-1))</f>
        <v>-1</v>
      </c>
      <c r="S121" s="465"/>
      <c r="T121" s="535" t="e">
        <f>((((T93/$K$13)*30)/((R93/$K$12)*30)-1))</f>
        <v>#DIV/0!</v>
      </c>
      <c r="U121" s="465"/>
      <c r="V121" s="535" t="e">
        <f>((((V93/$K$14)*30)/((T93/$K$13)*30)-1))</f>
        <v>#DIV/0!</v>
      </c>
      <c r="W121" s="536"/>
      <c r="AC121" s="998"/>
      <c r="AD121" s="999"/>
    </row>
    <row r="122" spans="3:30" x14ac:dyDescent="0.2">
      <c r="C122" s="539" t="s">
        <v>503</v>
      </c>
      <c r="D122" s="540"/>
      <c r="E122" s="541">
        <f>+(E110/D110)-1</f>
        <v>-1</v>
      </c>
      <c r="F122" s="541" t="e">
        <f>+(F110/E110)-1</f>
        <v>#DIV/0!</v>
      </c>
      <c r="G122" s="541" t="e">
        <f>+(G110/F110)-1</f>
        <v>#DIV/0!</v>
      </c>
      <c r="I122" s="413"/>
      <c r="J122" s="465"/>
      <c r="K122" s="465"/>
      <c r="L122" s="465"/>
      <c r="M122" s="466"/>
      <c r="O122" s="539" t="str">
        <f t="shared" si="24"/>
        <v>LUCRO LIQUIDO</v>
      </c>
      <c r="P122" s="542"/>
      <c r="Q122" s="543"/>
      <c r="R122" s="544">
        <f>((((R110/$K$12)*30)/((P110/$K$11)*30)-1))</f>
        <v>-1</v>
      </c>
      <c r="S122" s="543"/>
      <c r="T122" s="544" t="e">
        <f>((((T110/$K$13)*30)/((R110/$K$12)*30)-1))</f>
        <v>#DIV/0!</v>
      </c>
      <c r="U122" s="543"/>
      <c r="V122" s="544" t="e">
        <f>((((V110/$K$14)*30)/((T110/$K$13)*30)-1))</f>
        <v>#DIV/0!</v>
      </c>
      <c r="W122" s="545"/>
      <c r="AC122" s="998"/>
      <c r="AD122" s="999"/>
    </row>
    <row r="123" spans="3:30" x14ac:dyDescent="0.2">
      <c r="D123" s="1017" t="s">
        <v>504</v>
      </c>
      <c r="E123" s="1018"/>
      <c r="F123" s="1018"/>
      <c r="G123" s="1019"/>
      <c r="I123" s="413"/>
      <c r="J123" s="465"/>
      <c r="K123" s="465"/>
      <c r="L123" s="465"/>
      <c r="M123" s="466"/>
      <c r="AC123" s="998"/>
      <c r="AD123" s="999"/>
    </row>
    <row r="124" spans="3:30" x14ac:dyDescent="0.2">
      <c r="C124" s="546" t="s">
        <v>505</v>
      </c>
      <c r="D124" s="547"/>
      <c r="E124" s="548"/>
      <c r="F124" s="548"/>
      <c r="G124" s="549"/>
      <c r="I124" s="413"/>
      <c r="J124" s="465"/>
      <c r="K124" s="465"/>
      <c r="L124" s="465"/>
      <c r="M124" s="466"/>
      <c r="O124" s="1027" t="s">
        <v>506</v>
      </c>
      <c r="P124" s="1027"/>
      <c r="Q124" s="1027"/>
      <c r="R124" s="1027"/>
      <c r="S124" s="1027"/>
      <c r="T124" s="1027"/>
      <c r="U124" s="1027"/>
      <c r="V124" s="1027"/>
      <c r="W124" s="1027"/>
      <c r="AC124" s="998"/>
      <c r="AD124" s="999"/>
    </row>
    <row r="125" spans="3:30" ht="12.75" customHeight="1" x14ac:dyDescent="0.2">
      <c r="C125" s="550"/>
      <c r="D125" s="551"/>
      <c r="E125" s="552"/>
      <c r="F125" s="552"/>
      <c r="G125" s="553"/>
      <c r="I125" s="413"/>
      <c r="J125" s="465"/>
      <c r="K125" s="465"/>
      <c r="L125" s="465"/>
      <c r="M125" s="466"/>
      <c r="O125" s="550"/>
      <c r="P125" s="554">
        <f>+P80</f>
        <v>42369</v>
      </c>
      <c r="Q125" s="463" t="s">
        <v>444</v>
      </c>
      <c r="R125" s="554">
        <f>+R80</f>
        <v>42735</v>
      </c>
      <c r="S125" s="463" t="s">
        <v>444</v>
      </c>
      <c r="T125" s="554">
        <f>+T80</f>
        <v>43100</v>
      </c>
      <c r="U125" s="463" t="s">
        <v>444</v>
      </c>
      <c r="V125" s="554">
        <f>+V80</f>
        <v>43465</v>
      </c>
      <c r="W125" s="463" t="s">
        <v>444</v>
      </c>
      <c r="AC125" s="1000" t="s">
        <v>418</v>
      </c>
      <c r="AD125" s="1001"/>
    </row>
    <row r="126" spans="3:30" x14ac:dyDescent="0.2">
      <c r="C126" s="546" t="s">
        <v>507</v>
      </c>
      <c r="D126" s="555"/>
      <c r="E126" s="555"/>
      <c r="F126" s="555"/>
      <c r="G126" s="556"/>
      <c r="I126" s="413"/>
      <c r="J126" s="465"/>
      <c r="K126" s="465"/>
      <c r="L126" s="465"/>
      <c r="M126" s="466"/>
      <c r="O126" s="557" t="s">
        <v>508</v>
      </c>
      <c r="P126" s="558">
        <f>IF(P36=0,FALSE(),P36/P62)</f>
        <v>0.19526627218934911</v>
      </c>
      <c r="Q126" s="465"/>
      <c r="R126" s="558">
        <f>IF(R36=0,FALSE(),R36/R62)</f>
        <v>0.19526627218934911</v>
      </c>
      <c r="S126" s="465"/>
      <c r="T126" s="558">
        <f>IF(T36=0,FALSE(),T36/T62)</f>
        <v>0.19526627218934911</v>
      </c>
      <c r="U126" s="465"/>
      <c r="V126" s="558">
        <f>IF(V36=0,FALSE(),V36/V62)</f>
        <v>0.94285714285714284</v>
      </c>
      <c r="W126" s="536"/>
      <c r="AC126" s="1002"/>
      <c r="AD126" s="1003"/>
    </row>
    <row r="127" spans="3:30" x14ac:dyDescent="0.2">
      <c r="C127" s="559" t="s">
        <v>509</v>
      </c>
      <c r="D127" s="555"/>
      <c r="E127" s="555"/>
      <c r="F127" s="555"/>
      <c r="G127" s="556"/>
      <c r="I127" s="413"/>
      <c r="J127" s="465"/>
      <c r="K127" s="465"/>
      <c r="L127" s="465"/>
      <c r="M127" s="466"/>
      <c r="O127" s="560" t="s">
        <v>510</v>
      </c>
      <c r="P127" s="558">
        <f>IF(P70=0,FALSE(),P70/(P76-P45))</f>
        <v>5.2980769230769234</v>
      </c>
      <c r="Q127" s="465"/>
      <c r="R127" s="558">
        <f>IF(R70=0,FALSE(),R70/(R76-R45))</f>
        <v>-17.789473684210527</v>
      </c>
      <c r="S127" s="465"/>
      <c r="T127" s="558">
        <f>IF(T70=0,FALSE(),T70/(T76-T45))</f>
        <v>-17.789473684210527</v>
      </c>
      <c r="U127" s="465"/>
      <c r="V127" s="558" t="e">
        <f>IF(V70=0,FALSE(),V70/(V76-V45))</f>
        <v>#DIV/0!</v>
      </c>
      <c r="W127" s="536"/>
      <c r="AC127" s="996"/>
      <c r="AD127" s="997"/>
    </row>
    <row r="128" spans="3:30" ht="12.75" x14ac:dyDescent="0.2">
      <c r="C128" s="546" t="s">
        <v>511</v>
      </c>
      <c r="D128" s="555"/>
      <c r="E128" s="555"/>
      <c r="F128" s="555"/>
      <c r="G128" s="556"/>
      <c r="I128" s="413"/>
      <c r="J128" s="465"/>
      <c r="K128" s="465"/>
      <c r="L128" s="465"/>
      <c r="M128" s="466"/>
      <c r="O128" s="561" t="s">
        <v>512</v>
      </c>
      <c r="P128" s="562" t="s">
        <v>513</v>
      </c>
      <c r="Q128" s="465"/>
      <c r="R128" s="562" t="s">
        <v>513</v>
      </c>
      <c r="S128" s="465"/>
      <c r="T128" s="562" t="s">
        <v>513</v>
      </c>
      <c r="U128" s="465"/>
      <c r="V128" s="558" t="b">
        <f>IF(V103=0,FALSE(),(V103+V85)/(V52+V48))</f>
        <v>0</v>
      </c>
      <c r="W128" s="536"/>
      <c r="AC128" s="998"/>
      <c r="AD128" s="999"/>
    </row>
    <row r="129" spans="2:30" x14ac:dyDescent="0.2">
      <c r="C129" s="546" t="s">
        <v>514</v>
      </c>
      <c r="D129" s="563"/>
      <c r="E129" s="563"/>
      <c r="F129" s="563"/>
      <c r="G129" s="564"/>
      <c r="I129" s="413"/>
      <c r="J129" s="465"/>
      <c r="K129" s="465"/>
      <c r="L129" s="465"/>
      <c r="M129" s="466"/>
      <c r="O129" s="561" t="s">
        <v>515</v>
      </c>
      <c r="P129" s="558">
        <f>+P36-P62</f>
        <v>-1360</v>
      </c>
      <c r="Q129" s="565">
        <f>IF(P$77=0,FALSE(),P129/P$77*100)</f>
        <v>-38.14866760168303</v>
      </c>
      <c r="R129" s="558">
        <f>+R36-R62</f>
        <v>-13600</v>
      </c>
      <c r="S129" s="565">
        <f>IF(R$77=0,FALSE(),R129/R$77*100)</f>
        <v>-80.473372781065095</v>
      </c>
      <c r="T129" s="558">
        <f>+T36-T62</f>
        <v>-136000</v>
      </c>
      <c r="U129" s="565">
        <f>IF(T$77=0,FALSE(),T129/T$77*100)</f>
        <v>-80.473372781065095</v>
      </c>
      <c r="V129" s="558">
        <f>+V36-V62</f>
        <v>-20000</v>
      </c>
      <c r="W129" s="565">
        <f>IF(V$77=0,FALSE(),V129/V$77*100)</f>
        <v>-5.7142857142857144</v>
      </c>
      <c r="AC129" s="998"/>
      <c r="AD129" s="999"/>
    </row>
    <row r="130" spans="2:30" x14ac:dyDescent="0.2">
      <c r="C130" s="546" t="s">
        <v>516</v>
      </c>
      <c r="D130" s="555"/>
      <c r="E130" s="555"/>
      <c r="F130" s="555"/>
      <c r="G130" s="556"/>
      <c r="I130" s="413"/>
      <c r="J130" s="465"/>
      <c r="K130" s="465"/>
      <c r="L130" s="465"/>
      <c r="M130" s="466"/>
      <c r="O130" s="561" t="str">
        <f>+C130</f>
        <v>R.O.A.</v>
      </c>
      <c r="P130" s="566">
        <f>IF(P47=0,FALSE(),+P110/+P47)</f>
        <v>0.35789473684210527</v>
      </c>
      <c r="Q130" s="465"/>
      <c r="R130" s="566">
        <f>IF(R47=0,FALSE(),+R110/+R47)</f>
        <v>0</v>
      </c>
      <c r="S130" s="465"/>
      <c r="T130" s="566">
        <f>IF(T47=0,FALSE(),+T110/+T47)</f>
        <v>0</v>
      </c>
      <c r="U130" s="465"/>
      <c r="V130" s="566">
        <f>IF(V47=0,FALSE(),+V110/+V47)</f>
        <v>0</v>
      </c>
      <c r="W130" s="536"/>
      <c r="AC130" s="998"/>
      <c r="AD130" s="999"/>
    </row>
    <row r="131" spans="2:30" x14ac:dyDescent="0.2">
      <c r="C131" s="546" t="s">
        <v>517</v>
      </c>
      <c r="D131" s="555"/>
      <c r="E131" s="555"/>
      <c r="F131" s="555"/>
      <c r="G131" s="556"/>
      <c r="I131" s="413"/>
      <c r="J131" s="465"/>
      <c r="K131" s="465"/>
      <c r="L131" s="465"/>
      <c r="M131" s="466"/>
      <c r="O131" s="561" t="str">
        <f>+C131</f>
        <v>R.O.E.</v>
      </c>
      <c r="P131" s="566">
        <f>IF(P76=0,FALSE(),+P110/(+P76-P45))</f>
        <v>0.65384615384615385</v>
      </c>
      <c r="Q131" s="465"/>
      <c r="R131" s="566" t="b">
        <f>IF(R76=0,FALSE(),+R110/(+R76-R45))</f>
        <v>0</v>
      </c>
      <c r="S131" s="465"/>
      <c r="T131" s="566" t="b">
        <f>IF(T76=0,FALSE(),+T110/(+T76-T45))</f>
        <v>0</v>
      </c>
      <c r="U131" s="465"/>
      <c r="V131" s="566" t="b">
        <f>IF(V76=0,FALSE(),+V110/(+V76-V45))</f>
        <v>0</v>
      </c>
      <c r="W131" s="536"/>
      <c r="AC131" s="998"/>
      <c r="AD131" s="999"/>
    </row>
    <row r="132" spans="2:30" x14ac:dyDescent="0.2">
      <c r="C132" s="546" t="s">
        <v>518</v>
      </c>
      <c r="D132" s="567"/>
      <c r="E132" s="567"/>
      <c r="F132" s="567"/>
      <c r="G132" s="568"/>
      <c r="I132" s="413"/>
      <c r="J132" s="465"/>
      <c r="K132" s="465"/>
      <c r="L132" s="465"/>
      <c r="M132" s="466"/>
      <c r="O132" s="561" t="str">
        <f>+C132</f>
        <v>BANK DEBT / TOTAL ASSETS</v>
      </c>
      <c r="P132" s="566">
        <f>IF(P47=0,FALSE(),(+P63+P64+P48+P49+P50+P51+P52)/+P47)</f>
        <v>0.80526315789473679</v>
      </c>
      <c r="Q132" s="465"/>
      <c r="R132" s="566">
        <f>IF(R47=0,FALSE(),(+R63+R64+R48+R49+R50+R51+R52)/+R47)</f>
        <v>0.45263157894736844</v>
      </c>
      <c r="S132" s="465"/>
      <c r="T132" s="566">
        <f>IF(T47=0,FALSE(),(+T63+T64+T48+T49+T50+T51+T52)/+T47)</f>
        <v>0.45263157894736844</v>
      </c>
      <c r="U132" s="465"/>
      <c r="V132" s="566">
        <f>IF(V47=0,FALSE(),(+V63+V64+V48+V49+V50+V51+V52)/+V47)</f>
        <v>0.27272727272727271</v>
      </c>
      <c r="W132" s="536"/>
      <c r="AC132" s="998"/>
      <c r="AD132" s="999"/>
    </row>
    <row r="133" spans="2:30" x14ac:dyDescent="0.2">
      <c r="C133" s="559" t="s">
        <v>519</v>
      </c>
      <c r="D133" s="1028" t="s">
        <v>520</v>
      </c>
      <c r="E133" s="1028"/>
      <c r="F133" s="1028"/>
      <c r="G133" s="1029"/>
      <c r="I133" s="413"/>
      <c r="J133" s="465"/>
      <c r="K133" s="465"/>
      <c r="L133" s="465"/>
      <c r="M133" s="466"/>
      <c r="O133" s="569" t="str">
        <f>+C133</f>
        <v>ATIVO FIXO + INV. / TANGIVEIS</v>
      </c>
      <c r="P133" s="570">
        <f>IF(P76=0,FALSE(),(P43+P44)/(P76-P45))</f>
        <v>0.33653846153846156</v>
      </c>
      <c r="Q133" s="543"/>
      <c r="R133" s="570" t="b">
        <f>IF(R76=0,FALSE(),(R43+R44)/(R76-R45))</f>
        <v>0</v>
      </c>
      <c r="S133" s="543"/>
      <c r="T133" s="570" t="b">
        <f>IF(T76=0,FALSE(),(T43+T44)/(T76-T45))</f>
        <v>0</v>
      </c>
      <c r="U133" s="543"/>
      <c r="V133" s="570" t="b">
        <f>IF(V76=0,FALSE(),(V43+V44)/(V76-V45))</f>
        <v>0</v>
      </c>
      <c r="W133" s="545"/>
      <c r="AC133" s="998"/>
      <c r="AD133" s="999"/>
    </row>
    <row r="134" spans="2:30" ht="12" thickBot="1" x14ac:dyDescent="0.25">
      <c r="C134" s="550"/>
      <c r="D134" s="571"/>
      <c r="G134" s="572"/>
      <c r="I134" s="454"/>
      <c r="J134" s="455"/>
      <c r="K134" s="455"/>
      <c r="L134" s="455"/>
      <c r="M134" s="456"/>
      <c r="AC134" s="998"/>
      <c r="AD134" s="999"/>
    </row>
    <row r="135" spans="2:30" ht="12.75" customHeight="1" thickBot="1" x14ac:dyDescent="0.25">
      <c r="B135" s="573" t="s">
        <v>521</v>
      </c>
      <c r="C135" s="574">
        <f>+C23</f>
        <v>0</v>
      </c>
      <c r="D135" s="547"/>
      <c r="E135" s="548"/>
      <c r="F135" s="548"/>
      <c r="G135" s="549"/>
      <c r="O135" s="464" t="str">
        <f>+O23</f>
        <v>MOEDA : R$ 1.000</v>
      </c>
      <c r="P135" s="575"/>
      <c r="Q135" s="575"/>
      <c r="R135" s="575"/>
      <c r="S135" s="575"/>
      <c r="T135" s="575"/>
      <c r="U135" s="575"/>
      <c r="V135" s="575"/>
      <c r="W135" s="576"/>
      <c r="AC135" s="1000" t="s">
        <v>418</v>
      </c>
      <c r="AD135" s="1001"/>
    </row>
    <row r="136" spans="2:30" ht="12" thickBot="1" x14ac:dyDescent="0.25">
      <c r="B136" s="577" t="s">
        <v>522</v>
      </c>
      <c r="C136" s="574" t="str">
        <f>+C24</f>
        <v>--</v>
      </c>
      <c r="D136" s="551"/>
      <c r="E136" s="552"/>
      <c r="F136" s="552"/>
      <c r="G136" s="553"/>
      <c r="I136" s="1030" t="s">
        <v>523</v>
      </c>
      <c r="J136" s="1031"/>
      <c r="K136" s="1031"/>
      <c r="L136" s="1031"/>
      <c r="M136" s="1032"/>
      <c r="O136" s="578" t="str">
        <f>+O24</f>
        <v>--</v>
      </c>
      <c r="P136" s="579"/>
      <c r="Q136" s="579"/>
      <c r="R136" s="579"/>
      <c r="S136" s="579"/>
      <c r="T136" s="579"/>
      <c r="U136" s="579"/>
      <c r="V136" s="579"/>
      <c r="W136" s="580"/>
      <c r="AC136" s="1002"/>
      <c r="AD136" s="1003"/>
    </row>
    <row r="137" spans="2:30" ht="12" thickBot="1" x14ac:dyDescent="0.25">
      <c r="B137" s="581" t="s">
        <v>524</v>
      </c>
      <c r="C137" s="582" t="s">
        <v>525</v>
      </c>
      <c r="D137" s="583"/>
      <c r="E137" s="584"/>
      <c r="F137" s="584"/>
      <c r="G137" s="585"/>
      <c r="O137" s="586" t="str">
        <f>+C137</f>
        <v>MUDANÇAS NO PATRIMONIO LIQUIDO</v>
      </c>
      <c r="P137" s="554">
        <f>+P125</f>
        <v>42369</v>
      </c>
      <c r="Q137" s="587"/>
      <c r="R137" s="554">
        <f>+R125</f>
        <v>42735</v>
      </c>
      <c r="S137" s="587"/>
      <c r="T137" s="554">
        <f>+T125</f>
        <v>43100</v>
      </c>
      <c r="U137" s="587"/>
      <c r="V137" s="554">
        <f>+V125</f>
        <v>43465</v>
      </c>
      <c r="W137" s="588"/>
      <c r="AC137" s="996"/>
      <c r="AD137" s="997"/>
    </row>
    <row r="138" spans="2:30" ht="12" thickBot="1" x14ac:dyDescent="0.25">
      <c r="B138" s="589">
        <v>1</v>
      </c>
      <c r="C138" s="590" t="s">
        <v>526</v>
      </c>
      <c r="D138" s="1020" t="s">
        <v>527</v>
      </c>
      <c r="E138" s="1021"/>
      <c r="F138" s="1021"/>
      <c r="G138" s="1022"/>
      <c r="K138" s="591">
        <f>+R137</f>
        <v>42735</v>
      </c>
      <c r="L138" s="592">
        <f>+T137</f>
        <v>43100</v>
      </c>
      <c r="M138" s="593">
        <f>+V137</f>
        <v>43465</v>
      </c>
      <c r="O138" s="594" t="str">
        <f>+C138</f>
        <v>CORREÇÃO MONETÁRIA</v>
      </c>
      <c r="P138" s="504">
        <v>0</v>
      </c>
      <c r="Q138" s="595"/>
      <c r="R138" s="504">
        <f>IF(VALOR=1,0,IF(VALOR=3,($K6/$K7)*P76-P76,IF(VALOR=2,0)))</f>
        <v>0</v>
      </c>
      <c r="S138" s="595"/>
      <c r="T138" s="504">
        <f>IF(VALOR=1,0,IF(VALOR=3,($K7/$K8)*R76-R76,IF(VALOR=2,0)))</f>
        <v>0</v>
      </c>
      <c r="U138" s="595"/>
      <c r="V138" s="504">
        <f>IF(VALOR=1,0,IF(VALOR=3,($K8/$K9)*T76-T76,IF(VALOR=2,0)))</f>
        <v>0</v>
      </c>
      <c r="W138" s="596"/>
      <c r="AC138" s="998"/>
      <c r="AD138" s="999"/>
    </row>
    <row r="139" spans="2:30" ht="12.75" customHeight="1" x14ac:dyDescent="0.2">
      <c r="B139" s="581" t="s">
        <v>528</v>
      </c>
      <c r="C139" s="590" t="s">
        <v>529</v>
      </c>
      <c r="D139" s="597">
        <v>0</v>
      </c>
      <c r="E139" s="598">
        <v>0</v>
      </c>
      <c r="F139" s="598">
        <v>0</v>
      </c>
      <c r="G139" s="599">
        <v>0</v>
      </c>
      <c r="I139" s="1023" t="str">
        <f t="shared" ref="I139:I146" si="25">+C139</f>
        <v>AUMENTO DE CAPITAL</v>
      </c>
      <c r="J139" s="1024"/>
      <c r="K139" s="600">
        <f>+R139</f>
        <v>0</v>
      </c>
      <c r="L139" s="601">
        <f t="shared" ref="L139:L146" si="26">+T139</f>
        <v>0</v>
      </c>
      <c r="M139" s="602">
        <f>+V139</f>
        <v>0</v>
      </c>
      <c r="O139" s="594" t="str">
        <f t="shared" ref="O139:O189" si="27">+C139</f>
        <v>AUMENTO DE CAPITAL</v>
      </c>
      <c r="P139" s="504">
        <f t="shared" ref="P139:P144" si="28">IF(VALOR=1,D139/VLOOKUP(+$J$6,TABELA,2),IF(VALOR=2,D139/VLOOKUP(+$J$6,TABELA,3),D139/VLOOKUP($J$6,TABELA,2)))</f>
        <v>0</v>
      </c>
      <c r="Q139" s="595"/>
      <c r="R139" s="504">
        <f t="shared" ref="R139:R144" si="29">IF(VALOR=1,E139/VLOOKUP(+$J$7,TABELA,2),IF(VALOR=2,E139/VLOOKUP(+$J$7,TABELA,3),E139/VLOOKUP($J$7,TABELA,2)))</f>
        <v>0</v>
      </c>
      <c r="S139" s="595"/>
      <c r="T139" s="504">
        <f t="shared" ref="T139:T144" si="30">IF(VALOR=1,F139/VLOOKUP(+$J$8,TABELA,2),IF(VALOR=2,F139/VLOOKUP(+$J$8,TABELA,3),F139/VLOOKUP($J$8,TABELA,2)))</f>
        <v>0</v>
      </c>
      <c r="U139" s="595"/>
      <c r="V139" s="504">
        <f t="shared" ref="V139:V144" si="31">IF(VALOR=1,G139/VLOOKUP(+$J$9,TABELA,2),IF(VALOR=2,G139/VLOOKUP(+$J$9,TABELA,3),G139/VLOOKUP($J$9,TABELA,2)))</f>
        <v>0</v>
      </c>
      <c r="W139" s="596"/>
      <c r="AC139" s="998"/>
      <c r="AD139" s="999"/>
    </row>
    <row r="140" spans="2:30" x14ac:dyDescent="0.2">
      <c r="B140" s="589">
        <v>1</v>
      </c>
      <c r="C140" s="590" t="s">
        <v>530</v>
      </c>
      <c r="D140" s="603">
        <v>0</v>
      </c>
      <c r="E140" s="604">
        <v>0</v>
      </c>
      <c r="F140" s="604">
        <v>0</v>
      </c>
      <c r="G140" s="605">
        <v>0</v>
      </c>
      <c r="I140" s="1025" t="str">
        <f t="shared" si="25"/>
        <v>REAVALIAÇÃO</v>
      </c>
      <c r="J140" s="1026"/>
      <c r="K140" s="606">
        <f t="shared" ref="K140:K146" si="32">+R140</f>
        <v>0</v>
      </c>
      <c r="L140" s="504">
        <f t="shared" si="26"/>
        <v>0</v>
      </c>
      <c r="M140" s="607">
        <f t="shared" ref="M140:M146" si="33">+V140</f>
        <v>0</v>
      </c>
      <c r="O140" s="594" t="str">
        <f t="shared" si="27"/>
        <v>REAVALIAÇÃO</v>
      </c>
      <c r="P140" s="504">
        <f t="shared" si="28"/>
        <v>0</v>
      </c>
      <c r="Q140" s="595"/>
      <c r="R140" s="504">
        <f t="shared" si="29"/>
        <v>0</v>
      </c>
      <c r="S140" s="595"/>
      <c r="T140" s="504">
        <f t="shared" si="30"/>
        <v>0</v>
      </c>
      <c r="U140" s="595"/>
      <c r="V140" s="504">
        <f t="shared" si="31"/>
        <v>0</v>
      </c>
      <c r="W140" s="596"/>
      <c r="AC140" s="998"/>
      <c r="AD140" s="999"/>
    </row>
    <row r="141" spans="2:30" x14ac:dyDescent="0.2">
      <c r="B141" s="581" t="s">
        <v>531</v>
      </c>
      <c r="C141" s="590" t="s">
        <v>469</v>
      </c>
      <c r="D141" s="603">
        <v>0</v>
      </c>
      <c r="E141" s="604">
        <v>0</v>
      </c>
      <c r="F141" s="604">
        <v>0</v>
      </c>
      <c r="G141" s="605">
        <f>G57</f>
        <v>140000</v>
      </c>
      <c r="I141" s="1025" t="str">
        <f t="shared" si="25"/>
        <v>DIVIDENDOS</v>
      </c>
      <c r="J141" s="1026"/>
      <c r="K141" s="606">
        <f t="shared" si="32"/>
        <v>0</v>
      </c>
      <c r="L141" s="504">
        <f t="shared" si="26"/>
        <v>0</v>
      </c>
      <c r="M141" s="607">
        <f t="shared" si="33"/>
        <v>140000</v>
      </c>
      <c r="O141" s="594" t="str">
        <f t="shared" si="27"/>
        <v>DIVIDENDOS</v>
      </c>
      <c r="P141" s="504">
        <f t="shared" si="28"/>
        <v>0</v>
      </c>
      <c r="Q141" s="595"/>
      <c r="R141" s="504">
        <f t="shared" si="29"/>
        <v>0</v>
      </c>
      <c r="S141" s="595"/>
      <c r="T141" s="504">
        <f t="shared" si="30"/>
        <v>0</v>
      </c>
      <c r="U141" s="595"/>
      <c r="V141" s="504">
        <f t="shared" si="31"/>
        <v>140000</v>
      </c>
      <c r="W141" s="596"/>
      <c r="AC141" s="998"/>
      <c r="AD141" s="999"/>
    </row>
    <row r="142" spans="2:30" x14ac:dyDescent="0.2">
      <c r="B142" s="589">
        <v>1</v>
      </c>
      <c r="C142" s="590" t="s">
        <v>497</v>
      </c>
      <c r="D142" s="603">
        <v>0</v>
      </c>
      <c r="E142" s="604">
        <v>0</v>
      </c>
      <c r="F142" s="604">
        <v>0</v>
      </c>
      <c r="G142" s="605">
        <v>0</v>
      </c>
      <c r="I142" s="1025" t="str">
        <f t="shared" si="25"/>
        <v>IRPJ</v>
      </c>
      <c r="J142" s="1026"/>
      <c r="K142" s="606">
        <f t="shared" si="32"/>
        <v>0</v>
      </c>
      <c r="L142" s="504">
        <f t="shared" si="26"/>
        <v>0</v>
      </c>
      <c r="M142" s="607">
        <f t="shared" si="33"/>
        <v>0</v>
      </c>
      <c r="O142" s="594" t="str">
        <f t="shared" si="27"/>
        <v>IRPJ</v>
      </c>
      <c r="P142" s="504">
        <f t="shared" si="28"/>
        <v>0</v>
      </c>
      <c r="Q142" s="595"/>
      <c r="R142" s="504">
        <f t="shared" si="29"/>
        <v>0</v>
      </c>
      <c r="S142" s="595"/>
      <c r="T142" s="504">
        <f t="shared" si="30"/>
        <v>0</v>
      </c>
      <c r="U142" s="595"/>
      <c r="V142" s="504">
        <f t="shared" si="31"/>
        <v>0</v>
      </c>
      <c r="W142" s="596"/>
      <c r="AC142" s="998"/>
      <c r="AD142" s="999"/>
    </row>
    <row r="143" spans="2:30" x14ac:dyDescent="0.2">
      <c r="B143" s="608" t="s">
        <v>532</v>
      </c>
      <c r="C143" s="590" t="s">
        <v>533</v>
      </c>
      <c r="D143" s="603">
        <v>0</v>
      </c>
      <c r="E143" s="604">
        <v>0</v>
      </c>
      <c r="F143" s="604">
        <v>0</v>
      </c>
      <c r="G143" s="605">
        <v>0</v>
      </c>
      <c r="I143" s="1025" t="str">
        <f t="shared" si="25"/>
        <v>FUNDO DE PENSÃO</v>
      </c>
      <c r="J143" s="1026"/>
      <c r="K143" s="606">
        <f t="shared" si="32"/>
        <v>0</v>
      </c>
      <c r="L143" s="504">
        <f t="shared" si="26"/>
        <v>0</v>
      </c>
      <c r="M143" s="607">
        <f t="shared" si="33"/>
        <v>0</v>
      </c>
      <c r="O143" s="594" t="str">
        <f t="shared" si="27"/>
        <v>FUNDO DE PENSÃO</v>
      </c>
      <c r="P143" s="504">
        <f t="shared" si="28"/>
        <v>0</v>
      </c>
      <c r="Q143" s="595"/>
      <c r="R143" s="504">
        <f t="shared" si="29"/>
        <v>0</v>
      </c>
      <c r="S143" s="595"/>
      <c r="T143" s="504">
        <f t="shared" si="30"/>
        <v>0</v>
      </c>
      <c r="U143" s="595"/>
      <c r="V143" s="504">
        <f t="shared" si="31"/>
        <v>0</v>
      </c>
      <c r="W143" s="596"/>
      <c r="AC143" s="998"/>
      <c r="AD143" s="999"/>
    </row>
    <row r="144" spans="2:30" x14ac:dyDescent="0.2">
      <c r="B144" s="589">
        <v>1</v>
      </c>
      <c r="C144" s="590" t="s">
        <v>471</v>
      </c>
      <c r="D144" s="609">
        <v>0</v>
      </c>
      <c r="E144" s="610">
        <v>0</v>
      </c>
      <c r="F144" s="610">
        <v>0</v>
      </c>
      <c r="G144" s="611">
        <v>0</v>
      </c>
      <c r="I144" s="1025" t="str">
        <f t="shared" si="25"/>
        <v>OUTROS</v>
      </c>
      <c r="J144" s="1026"/>
      <c r="K144" s="606">
        <f t="shared" si="32"/>
        <v>0</v>
      </c>
      <c r="L144" s="504">
        <f t="shared" si="26"/>
        <v>0</v>
      </c>
      <c r="M144" s="607">
        <f t="shared" si="33"/>
        <v>0</v>
      </c>
      <c r="O144" s="594" t="str">
        <f t="shared" si="27"/>
        <v>OUTROS</v>
      </c>
      <c r="P144" s="504">
        <f t="shared" si="28"/>
        <v>0</v>
      </c>
      <c r="Q144" s="595"/>
      <c r="R144" s="504">
        <f t="shared" si="29"/>
        <v>0</v>
      </c>
      <c r="S144" s="595"/>
      <c r="T144" s="504">
        <f t="shared" si="30"/>
        <v>0</v>
      </c>
      <c r="U144" s="595"/>
      <c r="V144" s="504">
        <f t="shared" si="31"/>
        <v>0</v>
      </c>
      <c r="W144" s="596"/>
      <c r="AC144" s="998"/>
      <c r="AD144" s="999"/>
    </row>
    <row r="145" spans="2:30" ht="12.75" customHeight="1" x14ac:dyDescent="0.2">
      <c r="B145" s="612">
        <f>SUM(D139:G144)</f>
        <v>140000</v>
      </c>
      <c r="C145" s="613" t="s">
        <v>534</v>
      </c>
      <c r="D145" s="551"/>
      <c r="E145" s="552"/>
      <c r="F145" s="552"/>
      <c r="G145" s="553"/>
      <c r="I145" s="1011" t="str">
        <f t="shared" si="25"/>
        <v>DIFERENÇA</v>
      </c>
      <c r="J145" s="1012"/>
      <c r="K145" s="614">
        <f t="shared" si="32"/>
        <v>0</v>
      </c>
      <c r="L145" s="615">
        <f t="shared" si="26"/>
        <v>0</v>
      </c>
      <c r="M145" s="616">
        <f t="shared" si="33"/>
        <v>-140000</v>
      </c>
      <c r="O145" s="617" t="str">
        <f t="shared" si="27"/>
        <v>DIFERENÇA</v>
      </c>
      <c r="P145" s="495">
        <v>0</v>
      </c>
      <c r="Q145" s="618"/>
      <c r="R145" s="495">
        <f>+R146-(R138+R139+R140+R141+R142+R143+R144)-R110</f>
        <v>0</v>
      </c>
      <c r="S145" s="618"/>
      <c r="T145" s="495">
        <f>+T146-(T138+T139+T140+T141+T142+T143+T144)-T110</f>
        <v>0</v>
      </c>
      <c r="U145" s="618"/>
      <c r="V145" s="495">
        <f>+V146-(V138+V139+V140+V141+V142+V143+V144)-V110</f>
        <v>-140000</v>
      </c>
      <c r="W145" s="619"/>
      <c r="AC145" s="1000" t="s">
        <v>418</v>
      </c>
      <c r="AD145" s="1001"/>
    </row>
    <row r="146" spans="2:30" x14ac:dyDescent="0.2">
      <c r="C146" s="613" t="s">
        <v>535</v>
      </c>
      <c r="D146" s="583"/>
      <c r="E146" s="584"/>
      <c r="F146" s="584"/>
      <c r="G146" s="585"/>
      <c r="I146" s="1013" t="str">
        <f t="shared" si="25"/>
        <v>VARIAÇÃO NO PL</v>
      </c>
      <c r="J146" s="1014"/>
      <c r="K146" s="620">
        <f t="shared" si="32"/>
        <v>0</v>
      </c>
      <c r="L146" s="621">
        <f t="shared" si="26"/>
        <v>0</v>
      </c>
      <c r="M146" s="622">
        <f t="shared" si="33"/>
        <v>0</v>
      </c>
      <c r="O146" s="617" t="str">
        <f t="shared" si="27"/>
        <v>VARIAÇÃO NO PL</v>
      </c>
      <c r="P146" s="495">
        <v>0</v>
      </c>
      <c r="Q146" s="618"/>
      <c r="R146" s="495">
        <f>IF(R76=0,0,R76-P76)</f>
        <v>0</v>
      </c>
      <c r="S146" s="618"/>
      <c r="T146" s="495">
        <f>IF(T76=0,0,T76-R76)</f>
        <v>0</v>
      </c>
      <c r="U146" s="618"/>
      <c r="V146" s="495">
        <f>IF(V76=0,0,V76-T76)</f>
        <v>0</v>
      </c>
      <c r="W146" s="619"/>
      <c r="AC146" s="1002"/>
      <c r="AD146" s="1003"/>
    </row>
    <row r="147" spans="2:30" ht="6.75" customHeight="1" thickBot="1" x14ac:dyDescent="0.25">
      <c r="C147" s="623"/>
      <c r="D147" s="624"/>
      <c r="E147" s="625"/>
      <c r="F147" s="625"/>
      <c r="G147" s="626"/>
      <c r="I147" s="1015"/>
      <c r="J147" s="1016"/>
      <c r="K147" s="627"/>
      <c r="L147" s="627"/>
      <c r="M147" s="628"/>
      <c r="AC147" s="996"/>
      <c r="AD147" s="997"/>
    </row>
    <row r="148" spans="2:30" ht="12" thickBot="1" x14ac:dyDescent="0.25">
      <c r="C148" s="613" t="s">
        <v>536</v>
      </c>
      <c r="D148" s="1017" t="s">
        <v>537</v>
      </c>
      <c r="E148" s="1018"/>
      <c r="F148" s="1018"/>
      <c r="G148" s="1019"/>
      <c r="I148" s="457"/>
      <c r="J148" s="457"/>
      <c r="K148" s="457"/>
      <c r="L148" s="457"/>
      <c r="M148" s="457"/>
      <c r="O148" s="629" t="str">
        <f t="shared" si="27"/>
        <v>NECESSIDADE DE CAPITAL DE GIRO</v>
      </c>
      <c r="P148" s="554">
        <f>+P137</f>
        <v>42369</v>
      </c>
      <c r="Q148" s="554" t="s">
        <v>538</v>
      </c>
      <c r="R148" s="554">
        <f>+R137</f>
        <v>42735</v>
      </c>
      <c r="S148" s="554" t="s">
        <v>538</v>
      </c>
      <c r="T148" s="554">
        <f>+T137</f>
        <v>43100</v>
      </c>
      <c r="U148" s="554" t="s">
        <v>538</v>
      </c>
      <c r="V148" s="554">
        <f>+V137</f>
        <v>43465</v>
      </c>
      <c r="W148" s="554" t="s">
        <v>539</v>
      </c>
      <c r="AC148" s="998"/>
      <c r="AD148" s="999"/>
    </row>
    <row r="149" spans="2:30" x14ac:dyDescent="0.2">
      <c r="C149" s="630" t="s">
        <v>540</v>
      </c>
      <c r="D149" s="631"/>
      <c r="E149" s="632"/>
      <c r="F149" s="632"/>
      <c r="G149" s="633"/>
      <c r="I149" s="413"/>
      <c r="J149" s="465"/>
      <c r="K149" s="465"/>
      <c r="L149" s="465"/>
      <c r="M149" s="466"/>
      <c r="O149" s="630" t="str">
        <f t="shared" si="27"/>
        <v>RECEBÍVEIS</v>
      </c>
      <c r="P149" s="504">
        <f>+P27</f>
        <v>15</v>
      </c>
      <c r="Q149" s="634">
        <f>IF($P$83=0,0,$K$11/$P$83*P149)</f>
        <v>24.545454545454547</v>
      </c>
      <c r="R149" s="504">
        <f>+R27</f>
        <v>150</v>
      </c>
      <c r="S149" s="634">
        <f>IF($R$83=0,0,$K$12/$R$83*R149)</f>
        <v>0</v>
      </c>
      <c r="T149" s="504">
        <f>+T27</f>
        <v>1500</v>
      </c>
      <c r="U149" s="634">
        <f>IF($T$83=0,0,$K$13/$T$83*T149)</f>
        <v>0</v>
      </c>
      <c r="V149" s="504">
        <f>+V27</f>
        <v>15000</v>
      </c>
      <c r="W149" s="634">
        <f>IF($V$83=0,0,$K$14/$V$83*V149)</f>
        <v>0</v>
      </c>
      <c r="AC149" s="998"/>
      <c r="AD149" s="999"/>
    </row>
    <row r="150" spans="2:30" x14ac:dyDescent="0.2">
      <c r="C150" s="630" t="s">
        <v>451</v>
      </c>
      <c r="D150" s="635">
        <v>0</v>
      </c>
      <c r="E150" s="636">
        <v>0</v>
      </c>
      <c r="F150" s="636">
        <v>0</v>
      </c>
      <c r="G150" s="637">
        <v>0</v>
      </c>
      <c r="I150" s="413"/>
      <c r="J150" s="465"/>
      <c r="K150" s="465"/>
      <c r="L150" s="465"/>
      <c r="M150" s="466"/>
      <c r="O150" s="630" t="str">
        <f t="shared" si="27"/>
        <v>ESTOQUE</v>
      </c>
      <c r="P150" s="504">
        <f>+P29</f>
        <v>25</v>
      </c>
      <c r="Q150" s="634">
        <f>IF($P$83=0,0,$K$11/$P$83*P150)</f>
        <v>40.909090909090914</v>
      </c>
      <c r="R150" s="504">
        <f>+R29</f>
        <v>250</v>
      </c>
      <c r="S150" s="634">
        <f>IF($R$83=0,0,$K$12/$R$83*R150)</f>
        <v>0</v>
      </c>
      <c r="T150" s="504">
        <f>+T29</f>
        <v>2500</v>
      </c>
      <c r="U150" s="634">
        <f t="shared" ref="U150:U158" si="34">IF($T$83=0,0,$K$13/$T$83*T150)</f>
        <v>0</v>
      </c>
      <c r="V150" s="504">
        <f>+V29</f>
        <v>25000</v>
      </c>
      <c r="W150" s="634">
        <f t="shared" ref="W150:W158" si="35">IF($V$83=0,0,$K$14/$V$83*V150)</f>
        <v>0</v>
      </c>
      <c r="AC150" s="998"/>
      <c r="AD150" s="999"/>
    </row>
    <row r="151" spans="2:30" x14ac:dyDescent="0.2">
      <c r="B151" s="638" t="s">
        <v>541</v>
      </c>
      <c r="C151" s="639" t="str">
        <f>+C30</f>
        <v>PARTES RELACIONADAS</v>
      </c>
      <c r="D151" s="640">
        <v>0</v>
      </c>
      <c r="E151" s="641">
        <v>0</v>
      </c>
      <c r="F151" s="641">
        <v>0</v>
      </c>
      <c r="G151" s="642">
        <v>0</v>
      </c>
      <c r="I151" s="413"/>
      <c r="J151" s="465"/>
      <c r="K151" s="465"/>
      <c r="L151" s="465"/>
      <c r="M151" s="466"/>
      <c r="O151" s="639" t="str">
        <f t="shared" si="27"/>
        <v>PARTES RELACIONADAS</v>
      </c>
      <c r="P151" s="504">
        <f>+P30</f>
        <v>30</v>
      </c>
      <c r="Q151" s="634">
        <f>IF($P$83=0,0,$K$11/$P$83*P151)</f>
        <v>49.090909090909093</v>
      </c>
      <c r="R151" s="504">
        <f>+R30</f>
        <v>300</v>
      </c>
      <c r="S151" s="634">
        <f>IF($R$83=0,0,$K$12/$R$83*R151)</f>
        <v>0</v>
      </c>
      <c r="T151" s="504">
        <f>+T30</f>
        <v>3000</v>
      </c>
      <c r="U151" s="634">
        <f t="shared" si="34"/>
        <v>0</v>
      </c>
      <c r="V151" s="504">
        <f>+V30</f>
        <v>30000</v>
      </c>
      <c r="W151" s="634">
        <f t="shared" si="35"/>
        <v>0</v>
      </c>
      <c r="AC151" s="998"/>
      <c r="AD151" s="999"/>
    </row>
    <row r="152" spans="2:30" x14ac:dyDescent="0.2">
      <c r="B152" s="638" t="s">
        <v>542</v>
      </c>
      <c r="C152" s="630" t="str">
        <f>IF(B31=1,C31,FALSE)</f>
        <v>IR E CS DIFERIDOS</v>
      </c>
      <c r="D152" s="643">
        <v>0</v>
      </c>
      <c r="E152" s="644">
        <v>0</v>
      </c>
      <c r="F152" s="644">
        <v>0</v>
      </c>
      <c r="G152" s="645">
        <v>0</v>
      </c>
      <c r="I152" s="413"/>
      <c r="J152" s="465"/>
      <c r="K152" s="465"/>
      <c r="L152" s="465"/>
      <c r="M152" s="466"/>
      <c r="O152" s="630" t="str">
        <f t="shared" si="27"/>
        <v>IR E CS DIFERIDOS</v>
      </c>
      <c r="P152" s="504">
        <f>IF($B$31=1,P31,0)</f>
        <v>35</v>
      </c>
      <c r="Q152" s="634">
        <f>IF($P$83=0,0,$K$11/$P$83*P152)</f>
        <v>57.272727272727273</v>
      </c>
      <c r="R152" s="504">
        <f>IF($B$31=1,R31,0)</f>
        <v>350</v>
      </c>
      <c r="S152" s="634">
        <f>IF($R$83=0,0,$K$12/$R$83*R152)</f>
        <v>0</v>
      </c>
      <c r="T152" s="504">
        <f>IF($B$31=1,T31,0)</f>
        <v>3500</v>
      </c>
      <c r="U152" s="634">
        <f t="shared" si="34"/>
        <v>0</v>
      </c>
      <c r="V152" s="504">
        <f>IF($B$31=1,V31,0)</f>
        <v>35000</v>
      </c>
      <c r="W152" s="634">
        <f t="shared" si="35"/>
        <v>0</v>
      </c>
      <c r="AC152" s="998"/>
      <c r="AD152" s="999"/>
    </row>
    <row r="153" spans="2:30" x14ac:dyDescent="0.2">
      <c r="B153" s="638" t="s">
        <v>543</v>
      </c>
      <c r="C153" s="630" t="str">
        <f>IF(B32=1,C32,FALSE)</f>
        <v>CREDITOS FISCAIS A RECUPERAR</v>
      </c>
      <c r="D153" s="646"/>
      <c r="E153" s="647"/>
      <c r="F153" s="647"/>
      <c r="G153" s="648"/>
      <c r="I153" s="413"/>
      <c r="J153" s="465"/>
      <c r="K153" s="465"/>
      <c r="L153" s="465"/>
      <c r="M153" s="466"/>
      <c r="O153" s="630" t="str">
        <f t="shared" si="27"/>
        <v>CREDITOS FISCAIS A RECUPERAR</v>
      </c>
      <c r="P153" s="504">
        <f>IF($B$32=1,P32,0)</f>
        <v>40</v>
      </c>
      <c r="Q153" s="634">
        <f>IF($P$83=0,0,$K$11/$P$83*P153)</f>
        <v>65.454545454545453</v>
      </c>
      <c r="R153" s="504">
        <f>IF($B$32=1,R32,0)</f>
        <v>400</v>
      </c>
      <c r="S153" s="634">
        <f>IF($R$83=0,0,$K$12/$R$83*R153)</f>
        <v>0</v>
      </c>
      <c r="T153" s="504">
        <f>IF($B$32=1,T32,0)</f>
        <v>4000</v>
      </c>
      <c r="U153" s="634">
        <f t="shared" si="34"/>
        <v>0</v>
      </c>
      <c r="V153" s="504">
        <f>IF($B$32=1,V32,0)</f>
        <v>40000</v>
      </c>
      <c r="W153" s="634">
        <f t="shared" si="35"/>
        <v>0</v>
      </c>
      <c r="AC153" s="998"/>
      <c r="AD153" s="999"/>
    </row>
    <row r="154" spans="2:30" x14ac:dyDescent="0.2">
      <c r="C154" s="613" t="s">
        <v>544</v>
      </c>
      <c r="D154" s="649"/>
      <c r="E154" s="650"/>
      <c r="F154" s="650"/>
      <c r="G154" s="651"/>
      <c r="I154" s="413"/>
      <c r="J154" s="465"/>
      <c r="K154" s="465"/>
      <c r="L154" s="465"/>
      <c r="M154" s="466"/>
      <c r="O154" s="617" t="str">
        <f t="shared" si="27"/>
        <v>FINANCIAMENTO OPERACIONAL FORNECIDO</v>
      </c>
      <c r="P154" s="495">
        <f t="shared" ref="P154:W154" si="36">SUM(P149:P153)</f>
        <v>145</v>
      </c>
      <c r="Q154" s="652">
        <f t="shared" si="36"/>
        <v>237.27272727272731</v>
      </c>
      <c r="R154" s="495">
        <f t="shared" si="36"/>
        <v>1450</v>
      </c>
      <c r="S154" s="652">
        <f t="shared" si="36"/>
        <v>0</v>
      </c>
      <c r="T154" s="495">
        <f t="shared" si="36"/>
        <v>14500</v>
      </c>
      <c r="U154" s="652">
        <f t="shared" si="36"/>
        <v>0</v>
      </c>
      <c r="V154" s="495">
        <f t="shared" si="36"/>
        <v>145000</v>
      </c>
      <c r="W154" s="652">
        <f t="shared" si="36"/>
        <v>0</v>
      </c>
      <c r="AC154" s="998"/>
      <c r="AD154" s="999"/>
    </row>
    <row r="155" spans="2:30" ht="12.75" customHeight="1" x14ac:dyDescent="0.2">
      <c r="C155" s="630" t="s">
        <v>468</v>
      </c>
      <c r="D155" s="653"/>
      <c r="E155" s="632"/>
      <c r="F155" s="632"/>
      <c r="G155" s="633"/>
      <c r="I155" s="413"/>
      <c r="J155" s="465"/>
      <c r="K155" s="465"/>
      <c r="L155" s="465"/>
      <c r="M155" s="466"/>
      <c r="O155" s="630" t="str">
        <f t="shared" si="27"/>
        <v>FORNECEDORES</v>
      </c>
      <c r="P155" s="504">
        <f>+P53</f>
        <v>120</v>
      </c>
      <c r="Q155" s="634">
        <f>IF($P$83=0,0,$K$11/$P$83*P155)</f>
        <v>196.36363636363637</v>
      </c>
      <c r="R155" s="504">
        <f>+R53</f>
        <v>1200</v>
      </c>
      <c r="S155" s="634">
        <f>IF($R$83=0,0,$K$12/$R$83*R155)</f>
        <v>0</v>
      </c>
      <c r="T155" s="504">
        <f>+T53</f>
        <v>12000</v>
      </c>
      <c r="U155" s="634">
        <f t="shared" si="34"/>
        <v>0</v>
      </c>
      <c r="V155" s="504">
        <f>+V53</f>
        <v>0</v>
      </c>
      <c r="W155" s="634">
        <f t="shared" si="35"/>
        <v>0</v>
      </c>
      <c r="AC155" s="1000" t="s">
        <v>418</v>
      </c>
      <c r="AD155" s="1001"/>
    </row>
    <row r="156" spans="2:30" x14ac:dyDescent="0.2">
      <c r="C156" s="630" t="s">
        <v>545</v>
      </c>
      <c r="D156" s="654"/>
      <c r="E156" s="655"/>
      <c r="F156" s="655"/>
      <c r="G156" s="656"/>
      <c r="I156" s="413"/>
      <c r="J156" s="465"/>
      <c r="K156" s="465"/>
      <c r="L156" s="465"/>
      <c r="M156" s="466"/>
      <c r="O156" s="630" t="str">
        <f t="shared" si="27"/>
        <v>IMPOSTOS</v>
      </c>
      <c r="P156" s="504">
        <f>+P54</f>
        <v>125</v>
      </c>
      <c r="Q156" s="634">
        <f>IF($P$83=0,0,$K$11/$P$83*P156)</f>
        <v>204.54545454545456</v>
      </c>
      <c r="R156" s="504">
        <f>+R54</f>
        <v>1250</v>
      </c>
      <c r="S156" s="634">
        <f>IF($R$83=0,0,$K$12/$R$83*R156)</f>
        <v>0</v>
      </c>
      <c r="T156" s="504">
        <f>+T54</f>
        <v>12500</v>
      </c>
      <c r="U156" s="634">
        <f t="shared" si="34"/>
        <v>0</v>
      </c>
      <c r="V156" s="504">
        <f>+V54</f>
        <v>0</v>
      </c>
      <c r="W156" s="634">
        <f t="shared" si="35"/>
        <v>0</v>
      </c>
      <c r="AC156" s="1002"/>
      <c r="AD156" s="1003"/>
    </row>
    <row r="157" spans="2:30" x14ac:dyDescent="0.2">
      <c r="B157" s="657" t="s">
        <v>546</v>
      </c>
      <c r="C157" s="630" t="str">
        <f>IF(B59=1,C59,FALSE)</f>
        <v>ADIANTAMENTO DE CLIENTES</v>
      </c>
      <c r="D157" s="654"/>
      <c r="E157" s="655"/>
      <c r="F157" s="655"/>
      <c r="G157" s="656"/>
      <c r="I157" s="413"/>
      <c r="J157" s="465"/>
      <c r="K157" s="465"/>
      <c r="L157" s="465"/>
      <c r="M157" s="466"/>
      <c r="O157" s="630" t="str">
        <f t="shared" si="27"/>
        <v>ADIANTAMENTO DE CLIENTES</v>
      </c>
      <c r="P157" s="504">
        <f>IF($B$59=1,P59,0)</f>
        <v>150</v>
      </c>
      <c r="Q157" s="634">
        <f>IF($P$83=0,0,$K$11/$P$83*P157)</f>
        <v>245.45454545454547</v>
      </c>
      <c r="R157" s="504">
        <f>IF($B$59=1,R59,0)</f>
        <v>1500</v>
      </c>
      <c r="S157" s="634">
        <f>IF($R$83=0,0,$K$12/$R$83*R157)</f>
        <v>0</v>
      </c>
      <c r="T157" s="504">
        <f>IF($B$59=1,T59,0)</f>
        <v>15000</v>
      </c>
      <c r="U157" s="634">
        <f t="shared" si="34"/>
        <v>0</v>
      </c>
      <c r="V157" s="504">
        <f>IF($B$59=1,V59,0)</f>
        <v>0</v>
      </c>
      <c r="W157" s="634">
        <f t="shared" si="35"/>
        <v>0</v>
      </c>
      <c r="AC157" s="996"/>
      <c r="AD157" s="997"/>
    </row>
    <row r="158" spans="2:30" x14ac:dyDescent="0.2">
      <c r="B158" s="657" t="s">
        <v>547</v>
      </c>
      <c r="C158" s="630" t="str">
        <f>IF(B60=1,C60,FALSE)</f>
        <v>PROVISÃO</v>
      </c>
      <c r="D158" s="654"/>
      <c r="E158" s="655"/>
      <c r="F158" s="655"/>
      <c r="G158" s="656"/>
      <c r="I158" s="413"/>
      <c r="J158" s="465"/>
      <c r="K158" s="465"/>
      <c r="L158" s="465"/>
      <c r="M158" s="466"/>
      <c r="O158" s="630" t="str">
        <f>+C158</f>
        <v>PROVISÃO</v>
      </c>
      <c r="P158" s="504">
        <f>IF($B$60=1,P60,0)</f>
        <v>155</v>
      </c>
      <c r="Q158" s="634">
        <f>IF($P$83=0,0,$K$11/$P$83*P158)</f>
        <v>253.63636363636365</v>
      </c>
      <c r="R158" s="504">
        <f>IF($B$60=1,R60,0)</f>
        <v>1550</v>
      </c>
      <c r="S158" s="634">
        <f>IF($R$83=0,0,$K$12/$R$83*R158)</f>
        <v>0</v>
      </c>
      <c r="T158" s="504">
        <f>IF($B$60=1,T60,0)</f>
        <v>15500</v>
      </c>
      <c r="U158" s="634">
        <f t="shared" si="34"/>
        <v>0</v>
      </c>
      <c r="V158" s="504">
        <f>IF($B$60=1,V60,0)</f>
        <v>0</v>
      </c>
      <c r="W158" s="634">
        <f t="shared" si="35"/>
        <v>0</v>
      </c>
      <c r="AC158" s="998"/>
      <c r="AD158" s="999"/>
    </row>
    <row r="159" spans="2:30" x14ac:dyDescent="0.2">
      <c r="C159" s="613" t="s">
        <v>548</v>
      </c>
      <c r="D159" s="653"/>
      <c r="E159" s="632"/>
      <c r="F159" s="632"/>
      <c r="G159" s="633"/>
      <c r="I159" s="413"/>
      <c r="J159" s="465"/>
      <c r="K159" s="465"/>
      <c r="L159" s="465"/>
      <c r="M159" s="466"/>
      <c r="O159" s="617" t="str">
        <f t="shared" si="27"/>
        <v>FINANCIAMENTO OPERACIONAL RECEBIDO</v>
      </c>
      <c r="P159" s="495">
        <f t="shared" ref="P159:W159" si="37">SUM(P155:P158)</f>
        <v>550</v>
      </c>
      <c r="Q159" s="652">
        <f t="shared" si="37"/>
        <v>900</v>
      </c>
      <c r="R159" s="495">
        <f t="shared" si="37"/>
        <v>5500</v>
      </c>
      <c r="S159" s="652">
        <f t="shared" si="37"/>
        <v>0</v>
      </c>
      <c r="T159" s="495">
        <f t="shared" si="37"/>
        <v>55000</v>
      </c>
      <c r="U159" s="652">
        <f t="shared" si="37"/>
        <v>0</v>
      </c>
      <c r="V159" s="495">
        <f t="shared" si="37"/>
        <v>0</v>
      </c>
      <c r="W159" s="652">
        <f t="shared" si="37"/>
        <v>0</v>
      </c>
      <c r="AC159" s="998"/>
      <c r="AD159" s="999"/>
    </row>
    <row r="160" spans="2:30" x14ac:dyDescent="0.2">
      <c r="C160" s="630" t="str">
        <f>C148</f>
        <v>NECESSIDADE DE CAPITAL DE GIRO</v>
      </c>
      <c r="D160" s="653"/>
      <c r="E160" s="632"/>
      <c r="F160" s="632"/>
      <c r="G160" s="633"/>
      <c r="I160" s="413"/>
      <c r="J160" s="465"/>
      <c r="K160" s="465"/>
      <c r="L160" s="465"/>
      <c r="M160" s="466"/>
      <c r="O160" s="617" t="str">
        <f t="shared" si="27"/>
        <v>NECESSIDADE DE CAPITAL DE GIRO</v>
      </c>
      <c r="P160" s="495">
        <f>+P154-P159</f>
        <v>-405</v>
      </c>
      <c r="Q160" s="652">
        <f>IF($P$83=0,0,$K$11/$P$83*P160)</f>
        <v>-662.72727272727275</v>
      </c>
      <c r="R160" s="495">
        <f>+R154-R159</f>
        <v>-4050</v>
      </c>
      <c r="S160" s="652">
        <f>IF($R$83=0,0,$K$12/$R$83*R160)</f>
        <v>0</v>
      </c>
      <c r="T160" s="495">
        <f>+T154-T159</f>
        <v>-40500</v>
      </c>
      <c r="U160" s="652">
        <f>IF($T$83=0,0,$K$13/$T$83*T160)</f>
        <v>0</v>
      </c>
      <c r="V160" s="495">
        <f>+V154-V159</f>
        <v>145000</v>
      </c>
      <c r="W160" s="652">
        <f>IF($V$83=0,0,$K$14/$V$83*V160)</f>
        <v>0</v>
      </c>
      <c r="AC160" s="998"/>
      <c r="AD160" s="999"/>
    </row>
    <row r="161" spans="3:30" x14ac:dyDescent="0.2">
      <c r="C161" s="658"/>
      <c r="D161" s="659"/>
      <c r="E161" s="660"/>
      <c r="F161" s="660"/>
      <c r="G161" s="661"/>
      <c r="I161" s="413"/>
      <c r="J161" s="465"/>
      <c r="K161" s="465"/>
      <c r="L161" s="465"/>
      <c r="M161" s="466"/>
      <c r="O161" s="617">
        <f t="shared" si="27"/>
        <v>0</v>
      </c>
      <c r="P161" s="495">
        <v>0</v>
      </c>
      <c r="Q161" s="662"/>
      <c r="R161" s="495">
        <f>IF(R160=0,0,R160-P160)</f>
        <v>-3645</v>
      </c>
      <c r="S161" s="662"/>
      <c r="T161" s="495">
        <f>IF(T160=0,0,T160-R160)</f>
        <v>-36450</v>
      </c>
      <c r="U161" s="662"/>
      <c r="V161" s="495">
        <f>IF(V160=0,0,V160-T160)</f>
        <v>185500</v>
      </c>
      <c r="W161" s="662"/>
      <c r="AC161" s="998"/>
      <c r="AD161" s="999"/>
    </row>
    <row r="162" spans="3:30" ht="6.75" customHeight="1" x14ac:dyDescent="0.2">
      <c r="C162" s="663"/>
      <c r="D162" s="624"/>
      <c r="E162" s="625"/>
      <c r="F162" s="625"/>
      <c r="G162" s="626"/>
      <c r="I162" s="413"/>
      <c r="J162" s="465"/>
      <c r="K162" s="465"/>
      <c r="L162" s="465"/>
      <c r="M162" s="466"/>
      <c r="AC162" s="998"/>
      <c r="AD162" s="999"/>
    </row>
    <row r="163" spans="3:30" x14ac:dyDescent="0.2">
      <c r="C163" s="664" t="s">
        <v>375</v>
      </c>
      <c r="D163" s="665" t="s">
        <v>549</v>
      </c>
      <c r="E163" s="666">
        <f>E15</f>
        <v>42735</v>
      </c>
      <c r="F163" s="666">
        <f>F15</f>
        <v>43100</v>
      </c>
      <c r="G163" s="666">
        <f>G15</f>
        <v>43465</v>
      </c>
      <c r="I163" s="413"/>
      <c r="J163" s="465"/>
      <c r="K163" s="465"/>
      <c r="L163" s="465"/>
      <c r="M163" s="466"/>
      <c r="O163" s="667" t="str">
        <f t="shared" si="27"/>
        <v>FLUXO DE CAIXA</v>
      </c>
      <c r="P163" s="464"/>
      <c r="Q163" s="668"/>
      <c r="R163" s="524">
        <f>+E163</f>
        <v>42735</v>
      </c>
      <c r="S163" s="463"/>
      <c r="T163" s="524">
        <f>+F163</f>
        <v>43100</v>
      </c>
      <c r="U163" s="524"/>
      <c r="V163" s="524">
        <f>+G163</f>
        <v>43465</v>
      </c>
      <c r="W163" s="463"/>
      <c r="AC163" s="998"/>
      <c r="AD163" s="999"/>
    </row>
    <row r="164" spans="3:30" x14ac:dyDescent="0.2">
      <c r="C164" s="594" t="str">
        <f>C103</f>
        <v>LUCRO ANTES DOS IMPOSTOS</v>
      </c>
      <c r="D164" s="1008" t="s">
        <v>550</v>
      </c>
      <c r="E164" s="1009"/>
      <c r="F164" s="1009"/>
      <c r="G164" s="1010"/>
      <c r="I164" s="413"/>
      <c r="J164" s="465"/>
      <c r="K164" s="465"/>
      <c r="L164" s="465"/>
      <c r="M164" s="466"/>
      <c r="O164" s="594" t="str">
        <f t="shared" si="27"/>
        <v>LUCRO ANTES DOS IMPOSTOS</v>
      </c>
      <c r="P164" s="534"/>
      <c r="Q164" s="536"/>
      <c r="R164" s="504">
        <f>IF(R77=0,0,R103)</f>
        <v>0</v>
      </c>
      <c r="S164" s="669"/>
      <c r="T164" s="504">
        <f>IF(T77=0,0,T103)</f>
        <v>0</v>
      </c>
      <c r="U164" s="669"/>
      <c r="V164" s="504">
        <f>IF(V77=0,0,V103)</f>
        <v>0</v>
      </c>
      <c r="W164" s="669"/>
      <c r="Y164" s="670"/>
      <c r="Z164" s="548"/>
      <c r="AA164" s="549"/>
      <c r="AC164" s="998"/>
      <c r="AD164" s="999"/>
    </row>
    <row r="165" spans="3:30" ht="12.75" customHeight="1" x14ac:dyDescent="0.2">
      <c r="C165" s="630"/>
      <c r="D165" s="547"/>
      <c r="E165" s="671"/>
      <c r="F165" s="671"/>
      <c r="G165" s="672"/>
      <c r="I165" s="413"/>
      <c r="J165" s="465"/>
      <c r="K165" s="465"/>
      <c r="L165" s="465"/>
      <c r="M165" s="466"/>
      <c r="O165" s="594">
        <f t="shared" si="27"/>
        <v>0</v>
      </c>
      <c r="P165" s="534"/>
      <c r="Q165" s="536"/>
      <c r="R165" s="504">
        <f>IF(R77=0,0,R109)</f>
        <v>0</v>
      </c>
      <c r="S165" s="669"/>
      <c r="T165" s="504">
        <f>IF(T77=0,0,T109)</f>
        <v>0</v>
      </c>
      <c r="U165" s="669"/>
      <c r="V165" s="504">
        <f>IF(V77=0,0,V109)</f>
        <v>0</v>
      </c>
      <c r="W165" s="669"/>
      <c r="Y165" s="673" t="s">
        <v>551</v>
      </c>
      <c r="Z165" s="550"/>
      <c r="AA165" s="674"/>
      <c r="AC165" s="1000" t="s">
        <v>418</v>
      </c>
      <c r="AD165" s="1001"/>
    </row>
    <row r="166" spans="3:30" x14ac:dyDescent="0.2">
      <c r="C166" s="630" t="s">
        <v>552</v>
      </c>
      <c r="D166" s="551"/>
      <c r="E166" s="675"/>
      <c r="F166" s="675"/>
      <c r="G166" s="676"/>
      <c r="I166" s="413"/>
      <c r="J166" s="465"/>
      <c r="K166" s="465"/>
      <c r="L166" s="465"/>
      <c r="M166" s="466"/>
      <c r="O166" s="630" t="str">
        <f t="shared" si="27"/>
        <v>DEPRECIAÇÃO / AMORTIZAÇÃO</v>
      </c>
      <c r="P166" s="534"/>
      <c r="Q166" s="536"/>
      <c r="R166" s="504">
        <f>IF(R77=0,0,R85)</f>
        <v>0</v>
      </c>
      <c r="S166" s="669"/>
      <c r="T166" s="504">
        <f>IF(T77=0,0,T85)</f>
        <v>0</v>
      </c>
      <c r="U166" s="669"/>
      <c r="V166" s="504">
        <f>IF(V77=0,0,V85)</f>
        <v>0</v>
      </c>
      <c r="W166" s="669"/>
      <c r="Y166" s="551"/>
      <c r="Z166" s="552"/>
      <c r="AA166" s="553"/>
      <c r="AC166" s="1002"/>
      <c r="AD166" s="1003"/>
    </row>
    <row r="167" spans="3:30" x14ac:dyDescent="0.2">
      <c r="C167" s="613" t="s">
        <v>553</v>
      </c>
      <c r="D167" s="551"/>
      <c r="E167" s="632"/>
      <c r="F167" s="632"/>
      <c r="G167" s="633"/>
      <c r="I167" s="413"/>
      <c r="J167" s="465"/>
      <c r="K167" s="465"/>
      <c r="L167" s="465"/>
      <c r="M167" s="466"/>
      <c r="O167" s="617" t="str">
        <f t="shared" si="27"/>
        <v>CAIXA OPERACIONAL</v>
      </c>
      <c r="P167" s="677"/>
      <c r="Q167" s="678"/>
      <c r="R167" s="495">
        <f>SUM(R164:R166)</f>
        <v>0</v>
      </c>
      <c r="S167" s="679"/>
      <c r="T167" s="495">
        <f>SUM(T164:T166)</f>
        <v>0</v>
      </c>
      <c r="U167" s="679"/>
      <c r="V167" s="495">
        <f>SUM(V164:V166)</f>
        <v>0</v>
      </c>
      <c r="W167" s="679"/>
      <c r="Y167" s="680" t="s">
        <v>554</v>
      </c>
      <c r="Z167" s="681"/>
      <c r="AA167" s="682"/>
      <c r="AC167" s="996"/>
      <c r="AD167" s="997"/>
    </row>
    <row r="168" spans="3:30" x14ac:dyDescent="0.2">
      <c r="C168" s="630" t="s">
        <v>455</v>
      </c>
      <c r="D168" s="551"/>
      <c r="E168" s="675"/>
      <c r="F168" s="675"/>
      <c r="G168" s="676"/>
      <c r="I168" s="413"/>
      <c r="J168" s="465"/>
      <c r="K168" s="465"/>
      <c r="L168" s="465"/>
      <c r="M168" s="466"/>
      <c r="O168" s="630" t="str">
        <f t="shared" si="27"/>
        <v>IMPOSTOS A RECUPERAR</v>
      </c>
      <c r="P168" s="534"/>
      <c r="Q168" s="536"/>
      <c r="R168" s="504">
        <f>IF(R77=0,0,Y168)</f>
        <v>1030</v>
      </c>
      <c r="S168" s="669"/>
      <c r="T168" s="504">
        <f>IF(T77=0,0,Y169)</f>
        <v>12150</v>
      </c>
      <c r="U168" s="669"/>
      <c r="V168" s="504">
        <f>IF(V77=0,0,Y170)</f>
        <v>-13500</v>
      </c>
      <c r="W168" s="669"/>
      <c r="Y168" s="683">
        <f>IF(R56&gt;0,-((P56+P67+R105)-(R56+R67)),-((P56+P67+R105)-(R56+R67)))</f>
        <v>1030</v>
      </c>
      <c r="Z168" s="684" t="s">
        <v>555</v>
      </c>
      <c r="AA168" s="682"/>
      <c r="AC168" s="998"/>
      <c r="AD168" s="999"/>
    </row>
    <row r="169" spans="3:30" x14ac:dyDescent="0.2">
      <c r="C169" s="594" t="s">
        <v>556</v>
      </c>
      <c r="D169" s="551"/>
      <c r="E169" s="675"/>
      <c r="F169" s="675"/>
      <c r="G169" s="676"/>
      <c r="I169" s="413"/>
      <c r="J169" s="465"/>
      <c r="K169" s="465"/>
      <c r="L169" s="465"/>
      <c r="M169" s="466"/>
      <c r="O169" s="630" t="str">
        <f t="shared" si="27"/>
        <v>CURTO PRAZO DOS EMPRÉSTIMOS</v>
      </c>
      <c r="P169" s="534"/>
      <c r="Q169" s="536"/>
      <c r="R169" s="504">
        <f>IF(R77=0,0,-P52)</f>
        <v>-115</v>
      </c>
      <c r="S169" s="669"/>
      <c r="T169" s="504">
        <f>IF(T77=0,0,-R52)</f>
        <v>-1150</v>
      </c>
      <c r="U169" s="669"/>
      <c r="V169" s="504">
        <f>IF(V77=0,0,-T52)</f>
        <v>-11500</v>
      </c>
      <c r="W169" s="669"/>
      <c r="Y169" s="683">
        <f>IF(T56&gt;0,-((R56+R67+T105)-(T56+T67)),-((R56+R67+T105)-(T56+T67)))</f>
        <v>12150</v>
      </c>
      <c r="Z169" s="685" t="s">
        <v>557</v>
      </c>
      <c r="AA169" s="682"/>
      <c r="AC169" s="998"/>
      <c r="AD169" s="999"/>
    </row>
    <row r="170" spans="3:30" x14ac:dyDescent="0.2">
      <c r="C170" s="630" t="s">
        <v>558</v>
      </c>
      <c r="D170" s="551"/>
      <c r="E170" s="675"/>
      <c r="F170" s="675"/>
      <c r="G170" s="676"/>
      <c r="I170" s="413"/>
      <c r="J170" s="465"/>
      <c r="K170" s="465"/>
      <c r="L170" s="465"/>
      <c r="M170" s="466"/>
      <c r="O170" s="630" t="str">
        <f t="shared" si="27"/>
        <v>DIVIDENDOS / PARTICIPAÇÕES</v>
      </c>
      <c r="P170" s="534"/>
      <c r="Q170" s="536"/>
      <c r="R170" s="504">
        <f>IF(R77=0,0,((R57+R141+R107)-P57))</f>
        <v>1260</v>
      </c>
      <c r="S170" s="669"/>
      <c r="T170" s="504">
        <f>IF(T77=0,0,((T57+T141+T107)-R57))</f>
        <v>12600</v>
      </c>
      <c r="U170" s="669"/>
      <c r="V170" s="504">
        <f>IF(V77=0,0,((V57+V141+V107)-T57))</f>
        <v>266000</v>
      </c>
      <c r="W170" s="669"/>
      <c r="Y170" s="686">
        <f>IF(V56&gt;0,-((T56+T67+V105)-(V56+V67)),-((T56+T67+V105)-(V56+V67)))</f>
        <v>-13500</v>
      </c>
      <c r="Z170" s="687" t="s">
        <v>559</v>
      </c>
      <c r="AA170" s="682"/>
      <c r="AC170" s="998"/>
      <c r="AD170" s="999"/>
    </row>
    <row r="171" spans="3:30" x14ac:dyDescent="0.2">
      <c r="C171" s="594"/>
      <c r="D171" s="551"/>
      <c r="E171" s="632"/>
      <c r="F171" s="632"/>
      <c r="G171" s="633"/>
      <c r="I171" s="413"/>
      <c r="J171" s="465"/>
      <c r="K171" s="465"/>
      <c r="L171" s="465"/>
      <c r="M171" s="466"/>
      <c r="O171" s="617">
        <f t="shared" si="27"/>
        <v>0</v>
      </c>
      <c r="P171" s="677"/>
      <c r="Q171" s="678"/>
      <c r="R171" s="495">
        <f>SUM(R167:R170)</f>
        <v>2175</v>
      </c>
      <c r="S171" s="679"/>
      <c r="T171" s="495">
        <f>SUM(T167:T170)</f>
        <v>23600</v>
      </c>
      <c r="U171" s="679"/>
      <c r="V171" s="495">
        <f>SUM(V167:V170)</f>
        <v>241000</v>
      </c>
      <c r="W171" s="679"/>
      <c r="Y171" s="688"/>
      <c r="Z171" s="681"/>
      <c r="AA171" s="682"/>
      <c r="AC171" s="998"/>
      <c r="AD171" s="999"/>
    </row>
    <row r="172" spans="3:30" x14ac:dyDescent="0.2">
      <c r="C172" s="630" t="s">
        <v>560</v>
      </c>
      <c r="D172" s="551"/>
      <c r="E172" s="675"/>
      <c r="F172" s="675"/>
      <c r="G172" s="676"/>
      <c r="I172" s="413"/>
      <c r="J172" s="465"/>
      <c r="K172" s="465"/>
      <c r="L172" s="465"/>
      <c r="M172" s="466"/>
      <c r="O172" s="630" t="str">
        <f t="shared" si="27"/>
        <v>AQUISIÇÕES DE INVESTIMENTOS</v>
      </c>
      <c r="P172" s="534"/>
      <c r="Q172" s="536"/>
      <c r="R172" s="504">
        <f>IF(R77=0,0,-R161)</f>
        <v>3645</v>
      </c>
      <c r="S172" s="669"/>
      <c r="T172" s="504">
        <f>IF(T77=0,0,-T161)</f>
        <v>36450</v>
      </c>
      <c r="U172" s="669"/>
      <c r="V172" s="504">
        <f>IF(V77=0,0,-V161)</f>
        <v>-185500</v>
      </c>
      <c r="W172" s="669"/>
      <c r="Y172" s="688" t="s">
        <v>251</v>
      </c>
      <c r="Z172" s="681"/>
      <c r="AA172" s="682"/>
      <c r="AC172" s="998"/>
      <c r="AD172" s="999"/>
    </row>
    <row r="173" spans="3:30" x14ac:dyDescent="0.2">
      <c r="C173" s="630" t="s">
        <v>462</v>
      </c>
      <c r="D173" s="551"/>
      <c r="E173" s="675"/>
      <c r="F173" s="675"/>
      <c r="G173" s="676"/>
      <c r="I173" s="413"/>
      <c r="J173" s="465"/>
      <c r="K173" s="465"/>
      <c r="L173" s="465"/>
      <c r="M173" s="466"/>
      <c r="O173" s="630" t="str">
        <f t="shared" si="27"/>
        <v>ATIVO PERMANENTE</v>
      </c>
      <c r="P173" s="534"/>
      <c r="Q173" s="536"/>
      <c r="R173" s="504">
        <f>IF(R77=0,0,R104-(((R46-P46)+R85)-R140))</f>
        <v>-2430</v>
      </c>
      <c r="S173" s="669"/>
      <c r="T173" s="504">
        <f>IF(T77=0,0,T104-(((T46-R46)+T85)-T140))</f>
        <v>-24300</v>
      </c>
      <c r="U173" s="669"/>
      <c r="V173" s="504">
        <f>IF(V77=0,0,V104-(((V46-T46)+V85)-V140))</f>
        <v>-58000</v>
      </c>
      <c r="W173" s="669"/>
      <c r="Y173" s="688"/>
      <c r="Z173" s="681"/>
      <c r="AA173" s="682"/>
      <c r="AC173" s="998"/>
      <c r="AD173" s="999"/>
    </row>
    <row r="174" spans="3:30" x14ac:dyDescent="0.2">
      <c r="C174" s="613" t="s">
        <v>561</v>
      </c>
      <c r="D174" s="551"/>
      <c r="E174" s="632"/>
      <c r="F174" s="632"/>
      <c r="G174" s="633"/>
      <c r="I174" s="413"/>
      <c r="J174" s="465"/>
      <c r="K174" s="465"/>
      <c r="L174" s="465"/>
      <c r="M174" s="466"/>
      <c r="O174" s="689" t="str">
        <f t="shared" si="27"/>
        <v>CAIXA DE INVESTIMENTOS</v>
      </c>
      <c r="P174" s="677"/>
      <c r="Q174" s="678"/>
      <c r="R174" s="495">
        <f>+R171+R172+R173</f>
        <v>3390</v>
      </c>
      <c r="S174" s="679"/>
      <c r="T174" s="495">
        <f>+T171+T172+T173</f>
        <v>35750</v>
      </c>
      <c r="U174" s="679"/>
      <c r="V174" s="495">
        <f>+V171+V172+V173</f>
        <v>-2500</v>
      </c>
      <c r="W174" s="679"/>
      <c r="Y174" s="688"/>
      <c r="Z174" s="681"/>
      <c r="AA174" s="682"/>
      <c r="AC174" s="998"/>
      <c r="AD174" s="999"/>
    </row>
    <row r="175" spans="3:30" ht="12.75" customHeight="1" x14ac:dyDescent="0.2">
      <c r="C175" s="630" t="s">
        <v>562</v>
      </c>
      <c r="D175" s="551"/>
      <c r="E175" s="675"/>
      <c r="F175" s="675"/>
      <c r="G175" s="676"/>
      <c r="I175" s="413"/>
      <c r="J175" s="465"/>
      <c r="K175" s="465"/>
      <c r="L175" s="465"/>
      <c r="M175" s="466"/>
      <c r="O175" s="690" t="str">
        <f t="shared" si="27"/>
        <v>SUBSIDIÁRIAS</v>
      </c>
      <c r="P175" s="528"/>
      <c r="Q175" s="531"/>
      <c r="R175" s="502">
        <f>IF(R77=0,0,(R55-P55)-(R37-P37))</f>
        <v>630</v>
      </c>
      <c r="S175" s="691"/>
      <c r="T175" s="502">
        <f>IF(T77=0,0,(T55-R55)-(T37-R37))</f>
        <v>6300</v>
      </c>
      <c r="U175" s="691"/>
      <c r="V175" s="502">
        <f>IF(V77=0,0,(V55-T55)-(V37-T37))</f>
        <v>-67000</v>
      </c>
      <c r="W175" s="691"/>
      <c r="Y175" s="692" t="s">
        <v>563</v>
      </c>
      <c r="Z175" s="692" t="s">
        <v>564</v>
      </c>
      <c r="AA175" s="692" t="s">
        <v>565</v>
      </c>
      <c r="AC175" s="1000" t="s">
        <v>418</v>
      </c>
      <c r="AD175" s="1001"/>
    </row>
    <row r="176" spans="3:30" x14ac:dyDescent="0.2">
      <c r="C176" s="594" t="s">
        <v>566</v>
      </c>
      <c r="D176" s="551"/>
      <c r="E176" s="675"/>
      <c r="F176" s="675"/>
      <c r="G176" s="676"/>
      <c r="I176" s="413"/>
      <c r="J176" s="465"/>
      <c r="K176" s="465"/>
      <c r="L176" s="465"/>
      <c r="M176" s="466"/>
      <c r="O176" s="594" t="str">
        <f t="shared" si="27"/>
        <v>AÇÕES NA TESOURARIA</v>
      </c>
      <c r="P176" s="534"/>
      <c r="Q176" s="536"/>
      <c r="R176" s="504">
        <f>IF(R77=0,0,P26-R26)</f>
        <v>-90</v>
      </c>
      <c r="S176" s="669"/>
      <c r="T176" s="504">
        <f>IF(T77=0,0,R26-T26)</f>
        <v>-900</v>
      </c>
      <c r="U176" s="669"/>
      <c r="V176" s="504">
        <f>IF(V77=0,0,T26-V26)</f>
        <v>-9000</v>
      </c>
      <c r="W176" s="669"/>
      <c r="Y176" s="693" t="s">
        <v>567</v>
      </c>
      <c r="Z176" s="693" t="s">
        <v>567</v>
      </c>
      <c r="AA176" s="693" t="s">
        <v>567</v>
      </c>
      <c r="AC176" s="1002"/>
      <c r="AD176" s="1003"/>
    </row>
    <row r="177" spans="3:30" x14ac:dyDescent="0.2">
      <c r="C177" s="594" t="s">
        <v>568</v>
      </c>
      <c r="D177" s="551"/>
      <c r="E177" s="675"/>
      <c r="F177" s="675"/>
      <c r="G177" s="676"/>
      <c r="I177" s="413"/>
      <c r="J177" s="465"/>
      <c r="K177" s="465"/>
      <c r="L177" s="465"/>
      <c r="M177" s="466"/>
      <c r="O177" s="694" t="str">
        <f t="shared" si="27"/>
        <v>OUTROS ATIVOS DE LONGO PRAZO</v>
      </c>
      <c r="P177" s="534"/>
      <c r="Q177" s="536"/>
      <c r="R177" s="695">
        <f>IF(R77=0,0,(P39+P41+P38+P40)-(R39+R41+R38+R40))</f>
        <v>-2610</v>
      </c>
      <c r="S177" s="669"/>
      <c r="T177" s="695">
        <f>IF(T77=0,0,(R39+R41+R38+R40)-(T39+T41+T38+T40))</f>
        <v>-26100</v>
      </c>
      <c r="U177" s="669"/>
      <c r="V177" s="695">
        <f>IF(V77=0,0,(T39+T41+T38+T40)-(V39+V41+V38+V40))</f>
        <v>-266000</v>
      </c>
      <c r="W177" s="669"/>
      <c r="Y177" s="696" t="s">
        <v>569</v>
      </c>
      <c r="Z177" s="696" t="s">
        <v>569</v>
      </c>
      <c r="AA177" s="696" t="s">
        <v>569</v>
      </c>
      <c r="AC177" s="996"/>
      <c r="AD177" s="997"/>
    </row>
    <row r="178" spans="3:30" x14ac:dyDescent="0.2">
      <c r="C178" s="594" t="s">
        <v>570</v>
      </c>
      <c r="D178" s="551"/>
      <c r="E178" s="675"/>
      <c r="F178" s="675"/>
      <c r="G178" s="676"/>
      <c r="I178" s="413"/>
      <c r="J178" s="465"/>
      <c r="K178" s="465"/>
      <c r="L178" s="465"/>
      <c r="M178" s="466"/>
      <c r="O178" s="594" t="str">
        <f t="shared" si="27"/>
        <v>OUTROS ATIVOS DE CURTO PRAZO</v>
      </c>
      <c r="P178" s="534"/>
      <c r="Q178" s="536"/>
      <c r="R178" s="504">
        <f>IF(R77=0,0,Y181)</f>
        <v>-1530</v>
      </c>
      <c r="S178" s="669"/>
      <c r="T178" s="504">
        <f>IF(T77=0,0,Z181)</f>
        <v>-15300</v>
      </c>
      <c r="U178" s="669"/>
      <c r="V178" s="504">
        <f>IF(V77=0,0,AA181)</f>
        <v>-153000</v>
      </c>
      <c r="W178" s="669"/>
      <c r="Y178" s="697">
        <f>IF(B31=1,0,($P$31-$R$31))</f>
        <v>0</v>
      </c>
      <c r="Z178" s="697">
        <f>IF(B31=1,0,($R$31-$T$31))</f>
        <v>0</v>
      </c>
      <c r="AA178" s="697">
        <f>IF(B31=1,0,($T$31-$V$31))</f>
        <v>0</v>
      </c>
      <c r="AC178" s="998"/>
      <c r="AD178" s="999"/>
    </row>
    <row r="179" spans="3:30" x14ac:dyDescent="0.2">
      <c r="C179" s="594" t="s">
        <v>571</v>
      </c>
      <c r="D179" s="551"/>
      <c r="E179" s="675"/>
      <c r="F179" s="675"/>
      <c r="G179" s="676"/>
      <c r="I179" s="413"/>
      <c r="J179" s="465"/>
      <c r="K179" s="465"/>
      <c r="L179" s="465"/>
      <c r="M179" s="466"/>
      <c r="O179" s="594" t="str">
        <f t="shared" si="27"/>
        <v>RECEITAS DIFERIDAS</v>
      </c>
      <c r="P179" s="534"/>
      <c r="Q179" s="536"/>
      <c r="R179" s="504">
        <f>IF(R77=0,0,(R71-P71))</f>
        <v>0</v>
      </c>
      <c r="S179" s="669"/>
      <c r="T179" s="504">
        <f>IF(T77=0,0,(T71-R71))</f>
        <v>0</v>
      </c>
      <c r="U179" s="669"/>
      <c r="V179" s="504">
        <f>IF(V77=0,0,(V71-T71))</f>
        <v>0</v>
      </c>
      <c r="W179" s="669"/>
      <c r="Y179" s="697">
        <f>IF(B32=1,0,($P$32-$R$32))</f>
        <v>0</v>
      </c>
      <c r="Z179" s="697">
        <f>IF(B32=1,0,($R$32-$T$32))</f>
        <v>0</v>
      </c>
      <c r="AA179" s="697">
        <f>IF(B32=1,0,($T$32-$V$32))</f>
        <v>0</v>
      </c>
      <c r="AC179" s="998"/>
      <c r="AD179" s="999"/>
    </row>
    <row r="180" spans="3:30" x14ac:dyDescent="0.2">
      <c r="C180" s="594" t="s">
        <v>572</v>
      </c>
      <c r="D180" s="551"/>
      <c r="E180" s="675"/>
      <c r="F180" s="675"/>
      <c r="G180" s="676"/>
      <c r="I180" s="413"/>
      <c r="J180" s="465"/>
      <c r="K180" s="465"/>
      <c r="L180" s="465"/>
      <c r="M180" s="466"/>
      <c r="O180" s="594" t="str">
        <f t="shared" si="27"/>
        <v>OUTROS PASSIVOS</v>
      </c>
      <c r="P180" s="534"/>
      <c r="Q180" s="536"/>
      <c r="R180" s="504">
        <f>IF(R77=0,0,Y188)</f>
        <v>2200</v>
      </c>
      <c r="S180" s="669"/>
      <c r="T180" s="504">
        <f>IF(T77=0,0,Z188)</f>
        <v>27450</v>
      </c>
      <c r="U180" s="669"/>
      <c r="V180" s="504">
        <f>IF(V77=0,0,AA188)</f>
        <v>-30500</v>
      </c>
      <c r="W180" s="669"/>
      <c r="Y180" s="698">
        <f>($P$28+$P$33+$P$34+$P$35)-($R$28+$R$33+$R$34+$R$35)</f>
        <v>-1530</v>
      </c>
      <c r="Z180" s="698">
        <f>($R$28+$R$33+$R$34+$R$35)-($T$28+$T$33+$T$34+$T$35)</f>
        <v>-15300</v>
      </c>
      <c r="AA180" s="698">
        <f>($T$28+$T$33+$T$34+$T$35)-($V$28+$V$33+$V$34+$V$35)</f>
        <v>-153000</v>
      </c>
      <c r="AC180" s="998"/>
      <c r="AD180" s="999"/>
    </row>
    <row r="181" spans="3:30" x14ac:dyDescent="0.2">
      <c r="C181" s="664" t="s">
        <v>573</v>
      </c>
      <c r="D181" s="551"/>
      <c r="E181" s="632"/>
      <c r="F181" s="632"/>
      <c r="G181" s="633"/>
      <c r="I181" s="413"/>
      <c r="J181" s="465"/>
      <c r="K181" s="465"/>
      <c r="L181" s="465"/>
      <c r="M181" s="466"/>
      <c r="O181" s="586" t="str">
        <f t="shared" si="27"/>
        <v>CASH BEFORE FINANCING</v>
      </c>
      <c r="P181" s="677"/>
      <c r="Q181" s="678"/>
      <c r="R181" s="495">
        <f>SUM(R174:R180)</f>
        <v>1990</v>
      </c>
      <c r="S181" s="679"/>
      <c r="T181" s="495">
        <f>SUM(T174:T180)</f>
        <v>27200</v>
      </c>
      <c r="U181" s="679"/>
      <c r="V181" s="495">
        <f>SUM(V174:V180)</f>
        <v>-528000</v>
      </c>
      <c r="W181" s="679"/>
      <c r="Y181" s="699">
        <f>SUM(Y178:Y180)</f>
        <v>-1530</v>
      </c>
      <c r="Z181" s="699">
        <f>SUM(Z178:Z180)</f>
        <v>-15300</v>
      </c>
      <c r="AA181" s="699">
        <f>SUM(AA178:AA180)</f>
        <v>-153000</v>
      </c>
      <c r="AC181" s="998"/>
      <c r="AD181" s="999"/>
    </row>
    <row r="182" spans="3:30" x14ac:dyDescent="0.2">
      <c r="C182" s="594" t="s">
        <v>574</v>
      </c>
      <c r="D182" s="551"/>
      <c r="E182" s="675"/>
      <c r="F182" s="675"/>
      <c r="G182" s="676"/>
      <c r="I182" s="413"/>
      <c r="J182" s="465"/>
      <c r="K182" s="465"/>
      <c r="L182" s="465"/>
      <c r="M182" s="466"/>
      <c r="O182" s="594" t="str">
        <f t="shared" si="27"/>
        <v>EMPRÉSTIMOS DE CURTO PRAZO</v>
      </c>
      <c r="P182" s="534"/>
      <c r="Q182" s="536"/>
      <c r="R182" s="504">
        <f>IF(R77=0,0,(R48+R49+R50+R51)-(P48+P49+P50+P51))</f>
        <v>2835</v>
      </c>
      <c r="S182" s="669"/>
      <c r="T182" s="504">
        <f>IF(T77=0,0,(T48+T49+T50+T51)-(R48+R49+R50+R51))</f>
        <v>28350</v>
      </c>
      <c r="U182" s="669"/>
      <c r="V182" s="504">
        <f>IF(V77=0,0,(V48+V49+V50+V51)-(T48+T49+T50+T51))</f>
        <v>178500</v>
      </c>
      <c r="W182" s="669"/>
      <c r="Y182" s="700" t="s">
        <v>563</v>
      </c>
      <c r="Z182" s="700" t="s">
        <v>564</v>
      </c>
      <c r="AA182" s="700" t="s">
        <v>565</v>
      </c>
      <c r="AC182" s="998"/>
      <c r="AD182" s="999"/>
    </row>
    <row r="183" spans="3:30" x14ac:dyDescent="0.2">
      <c r="C183" s="594" t="s">
        <v>575</v>
      </c>
      <c r="D183" s="551"/>
      <c r="E183" s="675"/>
      <c r="F183" s="675"/>
      <c r="G183" s="676"/>
      <c r="I183" s="413"/>
      <c r="J183" s="465"/>
      <c r="K183" s="465"/>
      <c r="L183" s="465"/>
      <c r="M183" s="466"/>
      <c r="O183" s="594" t="str">
        <f t="shared" si="27"/>
        <v>EMPRESTIMOS DE LONGO PRAZO</v>
      </c>
      <c r="P183" s="534"/>
      <c r="Q183" s="536"/>
      <c r="R183" s="504">
        <f>IF(R77=0,0,(R63+R64+R52)-(P63+P64))</f>
        <v>815</v>
      </c>
      <c r="S183" s="669"/>
      <c r="T183" s="504">
        <f>IF(T77=0,0,(T63+T64+T52)-(R63+R64))</f>
        <v>11500</v>
      </c>
      <c r="U183" s="669"/>
      <c r="V183" s="504">
        <f>IF(V77=0,0,(V63+V64+V52)-(T63+T64))</f>
        <v>0</v>
      </c>
      <c r="W183" s="669"/>
      <c r="Y183" s="693" t="s">
        <v>567</v>
      </c>
      <c r="Z183" s="693" t="s">
        <v>567</v>
      </c>
      <c r="AA183" s="693" t="s">
        <v>567</v>
      </c>
      <c r="AC183" s="998"/>
      <c r="AD183" s="999"/>
    </row>
    <row r="184" spans="3:30" x14ac:dyDescent="0.2">
      <c r="C184" s="594" t="s">
        <v>529</v>
      </c>
      <c r="D184" s="551"/>
      <c r="E184" s="675"/>
      <c r="F184" s="675"/>
      <c r="G184" s="676"/>
      <c r="I184" s="413"/>
      <c r="J184" s="465"/>
      <c r="K184" s="465"/>
      <c r="L184" s="465"/>
      <c r="M184" s="466"/>
      <c r="O184" s="594" t="str">
        <f t="shared" si="27"/>
        <v>AUMENTO DE CAPITAL</v>
      </c>
      <c r="P184" s="534"/>
      <c r="Q184" s="536"/>
      <c r="R184" s="504">
        <f>IF(R77=0,0,R139)</f>
        <v>0</v>
      </c>
      <c r="S184" s="669"/>
      <c r="T184" s="504">
        <f>IF(T77=0,0,T139)</f>
        <v>0</v>
      </c>
      <c r="U184" s="669"/>
      <c r="V184" s="504">
        <f>IF(V77=0,0,V139)</f>
        <v>0</v>
      </c>
      <c r="W184" s="669"/>
      <c r="Y184" s="701" t="s">
        <v>576</v>
      </c>
      <c r="Z184" s="701" t="s">
        <v>576</v>
      </c>
      <c r="AA184" s="701" t="s">
        <v>576</v>
      </c>
      <c r="AC184" s="998"/>
      <c r="AD184" s="999"/>
    </row>
    <row r="185" spans="3:30" ht="12.75" customHeight="1" x14ac:dyDescent="0.2">
      <c r="C185" s="594" t="s">
        <v>526</v>
      </c>
      <c r="D185" s="551"/>
      <c r="E185" s="675"/>
      <c r="F185" s="675"/>
      <c r="G185" s="676"/>
      <c r="I185" s="413"/>
      <c r="J185" s="465"/>
      <c r="K185" s="465"/>
      <c r="L185" s="465"/>
      <c r="M185" s="466"/>
      <c r="O185" s="594" t="str">
        <f t="shared" si="27"/>
        <v>CORREÇÃO MONETÁRIA</v>
      </c>
      <c r="P185" s="534"/>
      <c r="Q185" s="536"/>
      <c r="R185" s="504">
        <f>+R138</f>
        <v>0</v>
      </c>
      <c r="S185" s="669"/>
      <c r="T185" s="504">
        <f>+T138</f>
        <v>0</v>
      </c>
      <c r="U185" s="669"/>
      <c r="V185" s="504">
        <f>+V138</f>
        <v>0</v>
      </c>
      <c r="W185" s="669"/>
      <c r="Y185" s="702">
        <f>IF(B59=1,0,($R$59-$P$59))</f>
        <v>0</v>
      </c>
      <c r="Z185" s="702">
        <f>IF(B59=1,0,($T$59-$R$59))</f>
        <v>0</v>
      </c>
      <c r="AA185" s="702">
        <f>IF(B59=1,0,($V$59-$T$59))</f>
        <v>0</v>
      </c>
      <c r="AC185" s="1000" t="s">
        <v>418</v>
      </c>
      <c r="AD185" s="1001"/>
    </row>
    <row r="186" spans="3:30" x14ac:dyDescent="0.2">
      <c r="C186" s="594"/>
      <c r="D186" s="551"/>
      <c r="E186" s="675"/>
      <c r="F186" s="675"/>
      <c r="G186" s="676"/>
      <c r="I186" s="413"/>
      <c r="J186" s="465"/>
      <c r="K186" s="465"/>
      <c r="L186" s="465"/>
      <c r="M186" s="466"/>
      <c r="O186" s="594">
        <f t="shared" si="27"/>
        <v>0</v>
      </c>
      <c r="P186" s="534"/>
      <c r="Q186" s="536"/>
      <c r="R186" s="504">
        <f>IF(R77=0,0,(R142+R143+R144+R145))</f>
        <v>0</v>
      </c>
      <c r="S186" s="669"/>
      <c r="T186" s="504">
        <f>IF(T77=0,0,(T142+T143+T144+T145))</f>
        <v>0</v>
      </c>
      <c r="U186" s="669"/>
      <c r="V186" s="504">
        <f>IF(V77=0,0,(V142+V143+V144+V145))</f>
        <v>-140000</v>
      </c>
      <c r="W186" s="669"/>
      <c r="Y186" s="702">
        <f>IF(B60=1,0,($R$60-$P$60))</f>
        <v>0</v>
      </c>
      <c r="Z186" s="702">
        <f>IF(B60=1,0,($T$60-$R$60))</f>
        <v>0</v>
      </c>
      <c r="AA186" s="702">
        <f>IF(B60=1,0,($V$60-$T$60))</f>
        <v>0</v>
      </c>
      <c r="AC186" s="1002"/>
      <c r="AD186" s="1003"/>
    </row>
    <row r="187" spans="3:30" x14ac:dyDescent="0.2">
      <c r="C187" s="594" t="s">
        <v>471</v>
      </c>
      <c r="D187" s="551"/>
      <c r="E187" s="675"/>
      <c r="F187" s="675"/>
      <c r="G187" s="676"/>
      <c r="I187" s="413"/>
      <c r="J187" s="465"/>
      <c r="K187" s="465"/>
      <c r="L187" s="465"/>
      <c r="M187" s="466"/>
      <c r="O187" s="594" t="str">
        <f t="shared" si="27"/>
        <v>OUTROS</v>
      </c>
      <c r="P187" s="534"/>
      <c r="Q187" s="536"/>
      <c r="R187" s="504">
        <f>IF(R77=0,0,(R72-P72)+R108)</f>
        <v>-195</v>
      </c>
      <c r="S187" s="669"/>
      <c r="T187" s="504">
        <f>IF(T77=0,0,(T72-R72)+T108)</f>
        <v>0</v>
      </c>
      <c r="U187" s="669"/>
      <c r="V187" s="504">
        <f>IF(V77=0,0,(V72-T72)+V108)</f>
        <v>0</v>
      </c>
      <c r="W187" s="669"/>
      <c r="Y187" s="703">
        <f>($R$58+$R$61+$R$65+$R$66+$R$68)-($P$58+$P$61+$P$65+$P$66+$P$68)</f>
        <v>2200</v>
      </c>
      <c r="Z187" s="704">
        <f>($T$58+$T$61+$T$65+$T$66+$T$68)-($R$58+$R$61+$R$65+$R$66+$R$68)</f>
        <v>27450</v>
      </c>
      <c r="AA187" s="703">
        <f>($V$58+$V$61+$V$65+$V$66+$V$68)-($T$58+$T$61+$T$65+$T$66+$T$68)</f>
        <v>-30500</v>
      </c>
      <c r="AC187" s="996"/>
      <c r="AD187" s="997"/>
    </row>
    <row r="188" spans="3:30" x14ac:dyDescent="0.2">
      <c r="C188" s="664" t="s">
        <v>577</v>
      </c>
      <c r="D188" s="551"/>
      <c r="E188" s="632"/>
      <c r="F188" s="632"/>
      <c r="G188" s="633"/>
      <c r="I188" s="413"/>
      <c r="J188" s="465"/>
      <c r="K188" s="465"/>
      <c r="L188" s="465"/>
      <c r="M188" s="466"/>
      <c r="O188" s="586" t="str">
        <f t="shared" si="27"/>
        <v>ALTERAÇÃO NO CAIXA</v>
      </c>
      <c r="P188" s="677"/>
      <c r="Q188" s="678"/>
      <c r="R188" s="495">
        <f>R189-(R181+R182+R183+R184+R185+R186+R187)</f>
        <v>-5400</v>
      </c>
      <c r="S188" s="679"/>
      <c r="T188" s="495">
        <f>T189-(T181+T182+T183+T184+T185+T186+T187)</f>
        <v>-66600</v>
      </c>
      <c r="U188" s="679"/>
      <c r="V188" s="495">
        <f>V189-(V181+V182+V183+V184+V185+V186+V187)</f>
        <v>494000</v>
      </c>
      <c r="W188" s="679"/>
      <c r="Y188" s="699">
        <f>SUM(Y185:Y187)</f>
        <v>2200</v>
      </c>
      <c r="Z188" s="705">
        <f>SUM(Z185:Z187)</f>
        <v>27450</v>
      </c>
      <c r="AA188" s="699">
        <f>SUM(AA185:AA187)</f>
        <v>-30500</v>
      </c>
      <c r="AC188" s="998"/>
      <c r="AD188" s="999"/>
    </row>
    <row r="189" spans="3:30" x14ac:dyDescent="0.2">
      <c r="C189" s="664" t="s">
        <v>578</v>
      </c>
      <c r="D189" s="551"/>
      <c r="E189" s="632"/>
      <c r="F189" s="632"/>
      <c r="G189" s="633"/>
      <c r="I189" s="706"/>
      <c r="J189" s="543"/>
      <c r="K189" s="543"/>
      <c r="L189" s="543"/>
      <c r="M189" s="707"/>
      <c r="O189" s="586" t="str">
        <f t="shared" si="27"/>
        <v>FLUXO DE CAIXA LÍQUIDO</v>
      </c>
      <c r="P189" s="677"/>
      <c r="Q189" s="678"/>
      <c r="R189" s="495">
        <f>IF(R77=0,0,R25-P25)</f>
        <v>45</v>
      </c>
      <c r="S189" s="679"/>
      <c r="T189" s="495">
        <f>IF(T77=0,0,T25-R25)</f>
        <v>450</v>
      </c>
      <c r="U189" s="679"/>
      <c r="V189" s="495">
        <f>IF(V77=0,0,V25-T25)</f>
        <v>4500</v>
      </c>
      <c r="W189" s="679"/>
      <c r="Y189" s="663"/>
      <c r="Z189" s="663"/>
      <c r="AA189" s="663"/>
      <c r="AC189" s="998"/>
      <c r="AD189" s="999"/>
    </row>
    <row r="190" spans="3:30" ht="12" thickBot="1" x14ac:dyDescent="0.25">
      <c r="C190" s="708"/>
      <c r="AC190" s="998"/>
      <c r="AD190" s="999"/>
    </row>
    <row r="191" spans="3:30" ht="21" thickBot="1" x14ac:dyDescent="0.25">
      <c r="O191" s="1004">
        <f>C20</f>
        <v>0</v>
      </c>
      <c r="P191" s="1005"/>
      <c r="Q191" s="1005"/>
      <c r="R191" s="1005"/>
      <c r="S191" s="1005"/>
      <c r="T191" s="1005"/>
      <c r="U191" s="1005"/>
      <c r="V191" s="1005"/>
      <c r="W191" s="1006"/>
    </row>
    <row r="192" spans="3:30" ht="12.75" x14ac:dyDescent="0.2">
      <c r="O192" s="709"/>
      <c r="P192" s="709"/>
      <c r="Q192" s="709"/>
      <c r="R192" s="709"/>
      <c r="S192" s="709"/>
      <c r="T192" s="709"/>
      <c r="U192" s="709"/>
      <c r="V192" s="709"/>
      <c r="W192" s="709"/>
      <c r="X192" s="709"/>
    </row>
    <row r="193" spans="15:33" ht="12.75" customHeight="1" x14ac:dyDescent="0.2">
      <c r="O193" s="464" t="s">
        <v>579</v>
      </c>
      <c r="P193" s="464"/>
      <c r="Q193" s="668"/>
      <c r="R193" s="468">
        <f>DATA2</f>
        <v>42735</v>
      </c>
      <c r="S193" s="468"/>
      <c r="T193" s="468">
        <f>DATA3</f>
        <v>43100</v>
      </c>
      <c r="U193" s="468"/>
      <c r="V193" s="468">
        <f>DATA4</f>
        <v>43465</v>
      </c>
      <c r="W193" s="468"/>
    </row>
    <row r="194" spans="15:33" ht="12.75" x14ac:dyDescent="0.2">
      <c r="O194" s="710"/>
      <c r="P194" s="710"/>
      <c r="Q194" s="710"/>
      <c r="R194" s="710"/>
      <c r="S194" s="710"/>
      <c r="T194" s="710"/>
      <c r="U194" s="710"/>
      <c r="V194" s="710"/>
      <c r="W194" s="710"/>
      <c r="Y194" s="711"/>
      <c r="Z194" s="711"/>
      <c r="AA194" s="711"/>
      <c r="AB194" s="711"/>
      <c r="AC194" s="711"/>
      <c r="AD194" s="711"/>
      <c r="AE194" s="711"/>
      <c r="AF194" s="711"/>
      <c r="AG194" s="711"/>
    </row>
    <row r="195" spans="15:33" x14ac:dyDescent="0.2">
      <c r="O195" s="712"/>
      <c r="P195" s="713"/>
      <c r="Q195" s="714"/>
      <c r="R195" s="715" t="str">
        <f>IF(R202&lt;0,$AG$206,"")</f>
        <v/>
      </c>
      <c r="S195" s="716"/>
      <c r="T195" s="715" t="str">
        <f>IF(T202&lt;0,$AG$206,"")</f>
        <v/>
      </c>
      <c r="U195" s="716"/>
      <c r="V195" s="715" t="str">
        <f>IF(V202&lt;0,$AG$206,"")</f>
        <v/>
      </c>
      <c r="W195" s="716"/>
      <c r="Y195" s="711"/>
      <c r="Z195" s="711"/>
      <c r="AA195" s="711"/>
      <c r="AB195" s="711"/>
      <c r="AC195" s="711"/>
      <c r="AD195" s="711"/>
      <c r="AE195" s="711"/>
    </row>
    <row r="196" spans="15:33" x14ac:dyDescent="0.2">
      <c r="O196" s="717"/>
      <c r="P196" s="718"/>
      <c r="Q196" s="719"/>
      <c r="R196" s="720"/>
      <c r="S196" s="721" t="s">
        <v>580</v>
      </c>
      <c r="T196" s="720"/>
      <c r="U196" s="721" t="s">
        <v>580</v>
      </c>
      <c r="V196" s="720"/>
      <c r="W196" s="721" t="s">
        <v>580</v>
      </c>
      <c r="Y196" s="711"/>
      <c r="Z196" s="711"/>
      <c r="AA196" s="711"/>
      <c r="AB196" s="711"/>
      <c r="AC196" s="711"/>
      <c r="AD196" s="711"/>
      <c r="AE196" s="711"/>
      <c r="AF196" s="405">
        <v>1</v>
      </c>
      <c r="AG196" s="405" t="s">
        <v>581</v>
      </c>
    </row>
    <row r="197" spans="15:33" x14ac:dyDescent="0.2">
      <c r="O197" s="722"/>
      <c r="P197" s="723"/>
      <c r="Q197" s="724"/>
      <c r="R197" s="725" t="e">
        <f>VLOOKUP(S197,$AF$196:$AG$206,2)</f>
        <v>#VALUE!</v>
      </c>
      <c r="S197" s="726" t="e">
        <f>IFERROR(ROUND(((+R$200+R$205+R$210+Q242)/4)+1,0),ROUND(((+R$200+R$205+R$210)/3)+1,0))</f>
        <v>#VALUE!</v>
      </c>
      <c r="T197" s="725" t="e">
        <f>VLOOKUP(U197,$AF$196:$AG$206,2)</f>
        <v>#VALUE!</v>
      </c>
      <c r="U197" s="726" t="e">
        <f>IFERROR(ROUND(((+T$200+T$205+T$210+Q242)/4)+1,0),ROUND(((+T$200+T$205+T$210)/3)+1,0))</f>
        <v>#VALUE!</v>
      </c>
      <c r="V197" s="725" t="e">
        <f>VLOOKUP(W197,$AF$196:$AG$206,2)</f>
        <v>#VALUE!</v>
      </c>
      <c r="W197" s="726" t="e">
        <f>ROUND(((V200+V205+V210)*50%+R216),0)</f>
        <v>#VALUE!</v>
      </c>
      <c r="Y197" s="711"/>
      <c r="Z197" s="711"/>
      <c r="AA197" s="711"/>
      <c r="AB197" s="711"/>
      <c r="AC197" s="711"/>
      <c r="AD197" s="711"/>
      <c r="AE197" s="711"/>
      <c r="AF197" s="405">
        <v>2</v>
      </c>
      <c r="AG197" s="405" t="s">
        <v>582</v>
      </c>
    </row>
    <row r="198" spans="15:33" x14ac:dyDescent="0.2">
      <c r="O198" s="727"/>
      <c r="P198" s="534"/>
      <c r="Q198" s="536"/>
      <c r="R198" s="728"/>
      <c r="S198" s="729"/>
      <c r="T198" s="728"/>
      <c r="U198" s="729"/>
      <c r="V198" s="728"/>
      <c r="W198" s="729"/>
      <c r="Y198" s="711"/>
      <c r="Z198" s="711"/>
      <c r="AA198" s="711"/>
      <c r="AB198" s="711"/>
      <c r="AC198" s="711"/>
      <c r="AD198" s="711"/>
      <c r="AE198" s="711"/>
      <c r="AF198" s="405">
        <v>3</v>
      </c>
      <c r="AG198" s="405" t="s">
        <v>186</v>
      </c>
    </row>
    <row r="199" spans="15:33" x14ac:dyDescent="0.2">
      <c r="O199" s="727"/>
      <c r="P199" s="534"/>
      <c r="Q199" s="536"/>
      <c r="R199" s="728"/>
      <c r="S199" s="729"/>
      <c r="T199" s="728"/>
      <c r="U199" s="729"/>
      <c r="V199" s="728"/>
      <c r="W199" s="729"/>
      <c r="Y199" s="711"/>
      <c r="Z199" s="711"/>
      <c r="AA199" s="711"/>
      <c r="AB199" s="711"/>
      <c r="AC199" s="711"/>
      <c r="AD199" s="711"/>
      <c r="AE199" s="711"/>
      <c r="AF199" s="405">
        <v>4</v>
      </c>
      <c r="AG199" s="405" t="s">
        <v>583</v>
      </c>
    </row>
    <row r="200" spans="15:33" x14ac:dyDescent="0.2">
      <c r="O200" s="486" t="s">
        <v>584</v>
      </c>
      <c r="P200" s="730"/>
      <c r="Q200" s="731"/>
      <c r="R200" s="732" t="e">
        <f>(S201+S202+S203+S204)/4</f>
        <v>#VALUE!</v>
      </c>
      <c r="S200" s="733"/>
      <c r="T200" s="734" t="e">
        <f>ROUND(((U201+U202+U203+U204)/4),0)</f>
        <v>#VALUE!</v>
      </c>
      <c r="U200" s="733"/>
      <c r="V200" s="732" t="e">
        <f>SUM(X201:X204)*40%</f>
        <v>#VALUE!</v>
      </c>
      <c r="W200" s="733"/>
      <c r="X200" s="405" t="e">
        <f>(V200+V205+V210)*0.5</f>
        <v>#VALUE!</v>
      </c>
      <c r="Y200" s="711"/>
      <c r="Z200" s="711"/>
      <c r="AA200" s="711"/>
      <c r="AB200" s="711"/>
      <c r="AC200" s="711"/>
      <c r="AD200" s="711"/>
      <c r="AE200" s="711"/>
      <c r="AF200" s="405">
        <v>5</v>
      </c>
      <c r="AG200" s="405" t="s">
        <v>585</v>
      </c>
    </row>
    <row r="201" spans="15:33" x14ac:dyDescent="0.2">
      <c r="O201" s="727" t="s">
        <v>586</v>
      </c>
      <c r="P201" s="534"/>
      <c r="Q201" s="536"/>
      <c r="R201" s="735">
        <f>R47</f>
        <v>9500</v>
      </c>
      <c r="S201" s="729" t="e">
        <f>#VALUE!</f>
        <v>#VALUE!</v>
      </c>
      <c r="T201" s="735">
        <f>T47</f>
        <v>95000</v>
      </c>
      <c r="U201" s="729" t="e">
        <f>#VALUE!</f>
        <v>#VALUE!</v>
      </c>
      <c r="V201" s="735">
        <f>V47</f>
        <v>770000</v>
      </c>
      <c r="W201" s="729" t="e">
        <f>#VALUE!</f>
        <v>#VALUE!</v>
      </c>
      <c r="X201" s="405" t="e">
        <f>W201*25%</f>
        <v>#VALUE!</v>
      </c>
      <c r="Y201" s="736">
        <f>IF(R201&gt;=10000,9,10)</f>
        <v>10</v>
      </c>
      <c r="Z201" s="736"/>
      <c r="AA201" s="736">
        <f>IF(T201&gt;=10000,9,10)</f>
        <v>9</v>
      </c>
      <c r="AB201" s="736"/>
      <c r="AC201" s="736">
        <f>IF(V201&gt;=10000,9,10)</f>
        <v>9</v>
      </c>
      <c r="AD201" s="711"/>
      <c r="AE201" s="711"/>
      <c r="AF201" s="405">
        <v>6</v>
      </c>
      <c r="AG201" s="405" t="s">
        <v>187</v>
      </c>
    </row>
    <row r="202" spans="15:33" x14ac:dyDescent="0.2">
      <c r="O202" s="727" t="s">
        <v>587</v>
      </c>
      <c r="P202" s="534"/>
      <c r="Q202" s="536"/>
      <c r="R202" s="735">
        <f>R76</f>
        <v>0</v>
      </c>
      <c r="S202" s="729" t="e">
        <f>#VALUE!</f>
        <v>#VALUE!</v>
      </c>
      <c r="T202" s="735">
        <f>T76</f>
        <v>0</v>
      </c>
      <c r="U202" s="729" t="e">
        <f>#VALUE!</f>
        <v>#VALUE!</v>
      </c>
      <c r="V202" s="735">
        <f>V76</f>
        <v>0</v>
      </c>
      <c r="W202" s="729" t="e">
        <f>#VALUE!</f>
        <v>#VALUE!</v>
      </c>
      <c r="X202" s="405" t="e">
        <f>W202*25%</f>
        <v>#VALUE!</v>
      </c>
      <c r="Y202" s="736">
        <f>IF(R202&gt;=1000,9,10)</f>
        <v>10</v>
      </c>
      <c r="Z202" s="736"/>
      <c r="AA202" s="736">
        <f>IF(T202&gt;=1000,9,10)</f>
        <v>10</v>
      </c>
      <c r="AB202" s="736"/>
      <c r="AC202" s="736">
        <f>IF(V202&gt;=1000,9,10)</f>
        <v>10</v>
      </c>
      <c r="AD202" s="711"/>
      <c r="AE202" s="711"/>
      <c r="AF202" s="405">
        <v>7</v>
      </c>
      <c r="AG202" s="405" t="s">
        <v>588</v>
      </c>
    </row>
    <row r="203" spans="15:33" x14ac:dyDescent="0.2">
      <c r="O203" s="727" t="s">
        <v>394</v>
      </c>
      <c r="P203" s="534"/>
      <c r="Q203" s="536"/>
      <c r="R203" s="735">
        <f>R94</f>
        <v>0</v>
      </c>
      <c r="S203" s="729" t="e">
        <f>#VALUE!</f>
        <v>#VALUE!</v>
      </c>
      <c r="T203" s="735">
        <f>T94</f>
        <v>0</v>
      </c>
      <c r="U203" s="729" t="e">
        <f>#VALUE!</f>
        <v>#VALUE!</v>
      </c>
      <c r="V203" s="735">
        <f>V94</f>
        <v>0</v>
      </c>
      <c r="W203" s="729" t="e">
        <f>#VALUE!</f>
        <v>#VALUE!</v>
      </c>
      <c r="X203" s="405" t="e">
        <f>W203*25%</f>
        <v>#VALUE!</v>
      </c>
      <c r="Y203" s="736"/>
      <c r="Z203" s="736"/>
      <c r="AA203" s="736"/>
      <c r="AB203" s="736"/>
      <c r="AC203" s="736"/>
      <c r="AD203" s="711"/>
      <c r="AE203" s="711"/>
      <c r="AF203" s="405">
        <v>8</v>
      </c>
      <c r="AG203" s="405" t="s">
        <v>589</v>
      </c>
    </row>
    <row r="204" spans="15:33" x14ac:dyDescent="0.2">
      <c r="O204" s="727" t="s">
        <v>590</v>
      </c>
      <c r="P204" s="534"/>
      <c r="Q204" s="536"/>
      <c r="R204" s="735">
        <f>R106</f>
        <v>0</v>
      </c>
      <c r="S204" s="729" t="e">
        <f>#VALUE!</f>
        <v>#VALUE!</v>
      </c>
      <c r="T204" s="735">
        <f>T106</f>
        <v>0</v>
      </c>
      <c r="U204" s="729" t="e">
        <f>#VALUE!</f>
        <v>#VALUE!</v>
      </c>
      <c r="V204" s="735">
        <f>V106</f>
        <v>0</v>
      </c>
      <c r="W204" s="729" t="e">
        <f>#VALUE!</f>
        <v>#VALUE!</v>
      </c>
      <c r="X204" s="405" t="e">
        <f>W204*25%</f>
        <v>#VALUE!</v>
      </c>
      <c r="Y204" s="736"/>
      <c r="Z204" s="711"/>
      <c r="AA204" s="736"/>
      <c r="AB204" s="711"/>
      <c r="AC204" s="736"/>
      <c r="AD204" s="711"/>
      <c r="AE204" s="711"/>
      <c r="AF204" s="405">
        <v>9</v>
      </c>
      <c r="AG204" s="405" t="s">
        <v>188</v>
      </c>
    </row>
    <row r="205" spans="15:33" x14ac:dyDescent="0.2">
      <c r="O205" s="486" t="s">
        <v>591</v>
      </c>
      <c r="P205" s="730"/>
      <c r="Q205" s="731"/>
      <c r="R205" s="732" t="e">
        <f>SUM(S206:S209)/4</f>
        <v>#VALUE!</v>
      </c>
      <c r="S205" s="733"/>
      <c r="T205" s="732" t="e">
        <f>SUM(U206:U209)/4</f>
        <v>#VALUE!</v>
      </c>
      <c r="U205" s="733"/>
      <c r="V205" s="732" t="e">
        <f>SUM(X206:X209)*20%</f>
        <v>#VALUE!</v>
      </c>
      <c r="W205" s="733"/>
      <c r="Y205" s="736"/>
      <c r="Z205" s="711"/>
      <c r="AA205" s="736"/>
      <c r="AB205" s="711"/>
      <c r="AC205" s="736"/>
      <c r="AD205" s="711"/>
      <c r="AE205" s="711"/>
      <c r="AF205" s="405">
        <v>10</v>
      </c>
      <c r="AG205" s="405" t="s">
        <v>592</v>
      </c>
    </row>
    <row r="206" spans="15:33" x14ac:dyDescent="0.2">
      <c r="O206" s="727" t="s">
        <v>593</v>
      </c>
      <c r="P206" s="534"/>
      <c r="Q206" s="536"/>
      <c r="R206" s="737">
        <v>0</v>
      </c>
      <c r="S206" s="729" t="e">
        <f>#VALUE!</f>
        <v>#VALUE!</v>
      </c>
      <c r="T206" s="737" t="e">
        <f>IF(D76=0,((F76-E76)/E76),(((F76-E76)/E76)+((E76-D76)/D76))/2)</f>
        <v>#DIV/0!</v>
      </c>
      <c r="U206" s="729" t="e">
        <f>#VALUE!</f>
        <v>#VALUE!</v>
      </c>
      <c r="V206" s="737" t="e">
        <f>IF(E76=0,((G76-F76)/F76),(((G76-F76)/F76)+((F76-E76)/E76))/2)</f>
        <v>#DIV/0!</v>
      </c>
      <c r="W206" s="729" t="e">
        <f>#VALUE!</f>
        <v>#VALUE!</v>
      </c>
      <c r="X206" s="405" t="e">
        <f>W206*10%</f>
        <v>#VALUE!</v>
      </c>
      <c r="Y206" s="736"/>
      <c r="Z206" s="711"/>
      <c r="AA206" s="736"/>
      <c r="AB206" s="711"/>
      <c r="AC206" s="736"/>
      <c r="AD206" s="711"/>
      <c r="AE206" s="711"/>
      <c r="AF206" s="405">
        <v>11</v>
      </c>
      <c r="AG206" s="405" t="s">
        <v>594</v>
      </c>
    </row>
    <row r="207" spans="15:33" x14ac:dyDescent="0.2">
      <c r="O207" s="727" t="s">
        <v>595</v>
      </c>
      <c r="P207" s="534"/>
      <c r="Q207" s="536"/>
      <c r="R207" s="738">
        <f>S93%</f>
        <v>0</v>
      </c>
      <c r="S207" s="729" t="e">
        <f>#VALUE!</f>
        <v>#VALUE!</v>
      </c>
      <c r="T207" s="738">
        <f>U93%</f>
        <v>0</v>
      </c>
      <c r="U207" s="729" t="e">
        <f>#VALUE!</f>
        <v>#VALUE!</v>
      </c>
      <c r="V207" s="738">
        <f>W93%</f>
        <v>0</v>
      </c>
      <c r="W207" s="729" t="e">
        <f>#VALUE!</f>
        <v>#VALUE!</v>
      </c>
      <c r="X207" s="405" t="e">
        <f>W207*20%</f>
        <v>#VALUE!</v>
      </c>
      <c r="Y207" s="736"/>
      <c r="Z207" s="711"/>
      <c r="AA207" s="736"/>
      <c r="AB207" s="711"/>
      <c r="AC207" s="736"/>
      <c r="AD207" s="711"/>
      <c r="AE207" s="711"/>
    </row>
    <row r="208" spans="15:33" x14ac:dyDescent="0.2">
      <c r="O208" s="727" t="s">
        <v>596</v>
      </c>
      <c r="P208" s="534"/>
      <c r="Q208" s="536"/>
      <c r="R208" s="738">
        <f>S110%</f>
        <v>0</v>
      </c>
      <c r="S208" s="729" t="e">
        <f>#VALUE!</f>
        <v>#VALUE!</v>
      </c>
      <c r="T208" s="738">
        <f>U110%</f>
        <v>0</v>
      </c>
      <c r="U208" s="729" t="e">
        <f>#VALUE!</f>
        <v>#VALUE!</v>
      </c>
      <c r="V208" s="738">
        <f>W110%</f>
        <v>0</v>
      </c>
      <c r="W208" s="729" t="e">
        <f>#VALUE!</f>
        <v>#VALUE!</v>
      </c>
      <c r="X208" s="405" t="e">
        <f>W208*35%</f>
        <v>#VALUE!</v>
      </c>
      <c r="Y208" s="736"/>
      <c r="Z208" s="711"/>
      <c r="AA208" s="736"/>
      <c r="AB208" s="711"/>
      <c r="AC208" s="736"/>
      <c r="AD208" s="711"/>
      <c r="AE208" s="711"/>
    </row>
    <row r="209" spans="15:33" x14ac:dyDescent="0.2">
      <c r="O209" s="727" t="s">
        <v>362</v>
      </c>
      <c r="P209" s="534"/>
      <c r="Q209" s="536"/>
      <c r="R209" s="739">
        <f>R126</f>
        <v>0.19526627218934911</v>
      </c>
      <c r="S209" s="729" t="e">
        <f>#VALUE!</f>
        <v>#VALUE!</v>
      </c>
      <c r="T209" s="739">
        <f>T126</f>
        <v>0.19526627218934911</v>
      </c>
      <c r="U209" s="729" t="e">
        <f>#VALUE!</f>
        <v>#VALUE!</v>
      </c>
      <c r="V209" s="739">
        <f>V126</f>
        <v>0.94285714285714284</v>
      </c>
      <c r="W209" s="729" t="e">
        <f>#VALUE!</f>
        <v>#VALUE!</v>
      </c>
      <c r="X209" s="405" t="e">
        <f>W209*35%</f>
        <v>#VALUE!</v>
      </c>
      <c r="Y209" s="736"/>
      <c r="Z209" s="711"/>
      <c r="AA209" s="736"/>
      <c r="AB209" s="711"/>
      <c r="AC209" s="736"/>
      <c r="AD209" s="711"/>
      <c r="AE209" s="711"/>
    </row>
    <row r="210" spans="15:33" x14ac:dyDescent="0.2">
      <c r="O210" s="486" t="s">
        <v>597</v>
      </c>
      <c r="P210" s="730"/>
      <c r="Q210" s="731"/>
      <c r="R210" s="734" t="e">
        <f>SUM(S211:S214)/4</f>
        <v>#VALUE!</v>
      </c>
      <c r="S210" s="733"/>
      <c r="T210" s="732" t="e">
        <f>SUM(U211:U214)/4</f>
        <v>#VALUE!</v>
      </c>
      <c r="U210" s="733"/>
      <c r="V210" s="732" t="e">
        <f>SUM(X211:X214)*40%</f>
        <v>#VALUE!</v>
      </c>
      <c r="W210" s="733"/>
      <c r="Y210" s="736"/>
      <c r="Z210" s="711"/>
      <c r="AA210" s="736"/>
      <c r="AB210" s="711"/>
      <c r="AC210" s="736"/>
      <c r="AD210" s="711"/>
      <c r="AE210" s="711"/>
      <c r="AF210" s="711"/>
      <c r="AG210" s="711"/>
    </row>
    <row r="211" spans="15:33" x14ac:dyDescent="0.2">
      <c r="O211" s="727" t="s">
        <v>598</v>
      </c>
      <c r="P211" s="534"/>
      <c r="Q211" s="536"/>
      <c r="R211" s="740" t="e">
        <f>(R48+R49+R50+R52+R63+R64)/R76</f>
        <v>#DIV/0!</v>
      </c>
      <c r="S211" s="729" t="e">
        <f>#VALUE!</f>
        <v>#VALUE!</v>
      </c>
      <c r="T211" s="740" t="e">
        <f>(T48+T49+T50+T52+T63+T64)/T76</f>
        <v>#DIV/0!</v>
      </c>
      <c r="U211" s="729" t="e">
        <f>#VALUE!</f>
        <v>#VALUE!</v>
      </c>
      <c r="V211" s="740" t="e">
        <f>(V48+V49+V50+V52+V63+V64)/V76</f>
        <v>#DIV/0!</v>
      </c>
      <c r="W211" s="729" t="e">
        <f>#VALUE!</f>
        <v>#VALUE!</v>
      </c>
      <c r="X211" s="405" t="e">
        <f>W211*25%</f>
        <v>#VALUE!</v>
      </c>
      <c r="Y211" s="736"/>
      <c r="Z211" s="711"/>
      <c r="AA211" s="736"/>
      <c r="AB211" s="711"/>
      <c r="AC211" s="736"/>
      <c r="AD211" s="711"/>
      <c r="AE211" s="711"/>
      <c r="AF211" s="711"/>
      <c r="AG211" s="711"/>
    </row>
    <row r="212" spans="15:33" x14ac:dyDescent="0.2">
      <c r="O212" s="727" t="s">
        <v>599</v>
      </c>
      <c r="P212" s="534"/>
      <c r="Q212" s="536"/>
      <c r="R212" s="740">
        <f>R70/R77</f>
        <v>1</v>
      </c>
      <c r="S212" s="729" t="e">
        <f>#VALUE!</f>
        <v>#VALUE!</v>
      </c>
      <c r="T212" s="740">
        <f>T70/T77</f>
        <v>1</v>
      </c>
      <c r="U212" s="729" t="e">
        <f>#VALUE!</f>
        <v>#VALUE!</v>
      </c>
      <c r="V212" s="740">
        <f>V70/V77</f>
        <v>1</v>
      </c>
      <c r="W212" s="729" t="e">
        <f>#VALUE!</f>
        <v>#VALUE!</v>
      </c>
      <c r="X212" s="405" t="e">
        <f>W212*25%</f>
        <v>#VALUE!</v>
      </c>
      <c r="Y212" s="736"/>
      <c r="Z212" s="711"/>
      <c r="AA212" s="736"/>
      <c r="AB212" s="711"/>
      <c r="AC212" s="736"/>
      <c r="AD212" s="711"/>
      <c r="AE212" s="711"/>
      <c r="AF212" s="711"/>
      <c r="AG212" s="711"/>
    </row>
    <row r="213" spans="15:33" x14ac:dyDescent="0.2">
      <c r="O213" s="727" t="s">
        <v>600</v>
      </c>
      <c r="P213" s="534"/>
      <c r="Q213" s="536"/>
      <c r="R213" s="740">
        <f>(R48+R49+R50+R52+R63)/R77</f>
        <v>0.1893491124260355</v>
      </c>
      <c r="S213" s="729" t="e">
        <f>#VALUE!</f>
        <v>#VALUE!</v>
      </c>
      <c r="T213" s="740">
        <f>(T48+T49+T50+T52+T63)/T77</f>
        <v>0.1893491124260355</v>
      </c>
      <c r="U213" s="729" t="e">
        <f>#VALUE!</f>
        <v>#VALUE!</v>
      </c>
      <c r="V213" s="740">
        <f>(V48+V49+V50+V52+V63)/V77</f>
        <v>0.2857142857142857</v>
      </c>
      <c r="W213" s="729" t="e">
        <f>#VALUE!</f>
        <v>#VALUE!</v>
      </c>
      <c r="X213" s="405" t="e">
        <f>W213*25%</f>
        <v>#VALUE!</v>
      </c>
      <c r="Y213" s="736"/>
      <c r="Z213" s="711"/>
      <c r="AA213" s="736"/>
      <c r="AB213" s="711"/>
      <c r="AC213" s="736"/>
      <c r="AD213" s="711"/>
      <c r="AE213" s="711"/>
      <c r="AF213" s="711"/>
      <c r="AG213" s="711"/>
    </row>
    <row r="214" spans="15:33" x14ac:dyDescent="0.2">
      <c r="O214" s="741" t="s">
        <v>601</v>
      </c>
      <c r="P214" s="542"/>
      <c r="Q214" s="545"/>
      <c r="R214" s="742">
        <f>R167/R62</f>
        <v>0</v>
      </c>
      <c r="S214" s="743" t="e">
        <f>#VALUE!</f>
        <v>#VALUE!</v>
      </c>
      <c r="T214" s="742">
        <f>T167/T62</f>
        <v>0</v>
      </c>
      <c r="U214" s="743" t="e">
        <f>#VALUE!</f>
        <v>#VALUE!</v>
      </c>
      <c r="V214" s="742">
        <f>IF(IFERROR(SUM(G25:G26)/G48,10)&gt;10,10,IFERROR(SUM(G25:G26)/G48,10))</f>
        <v>0.15</v>
      </c>
      <c r="W214" s="743" t="e">
        <f>#VALUE!</f>
        <v>#VALUE!</v>
      </c>
      <c r="X214" s="405" t="e">
        <f>W214*25%</f>
        <v>#VALUE!</v>
      </c>
    </row>
    <row r="215" spans="15:33" x14ac:dyDescent="0.2">
      <c r="R215" s="744"/>
      <c r="S215" s="745"/>
      <c r="T215" s="744"/>
      <c r="U215" s="745"/>
      <c r="V215" s="744"/>
      <c r="W215" s="745"/>
    </row>
    <row r="216" spans="15:33" ht="12" x14ac:dyDescent="0.2">
      <c r="O216" s="1007" t="s">
        <v>602</v>
      </c>
      <c r="P216" s="1007"/>
      <c r="Q216" s="1007"/>
      <c r="R216" s="746" t="e">
        <f>((R218+R220)*5%)+((R226+R224)*10%)+((R228+R230)*15%)+(SUM(R232:R240)*20%)</f>
        <v>#VALUE!</v>
      </c>
      <c r="S216" s="993" t="s">
        <v>603</v>
      </c>
      <c r="T216" s="994"/>
      <c r="U216" s="994"/>
      <c r="V216" s="994"/>
      <c r="W216" s="995"/>
    </row>
    <row r="217" spans="15:33" ht="12" thickBot="1" x14ac:dyDescent="0.25">
      <c r="R217" s="747"/>
      <c r="S217" s="984"/>
      <c r="T217" s="985"/>
      <c r="U217" s="985"/>
      <c r="V217" s="985"/>
      <c r="W217" s="986"/>
    </row>
    <row r="218" spans="15:33" ht="12" thickBot="1" x14ac:dyDescent="0.25">
      <c r="O218" s="748" t="s">
        <v>604</v>
      </c>
      <c r="P218" s="749" t="s">
        <v>605</v>
      </c>
      <c r="Q218" s="405">
        <f>IFERROR(VLOOKUP(P218,W265:X268,2,0),0)</f>
        <v>10</v>
      </c>
      <c r="R218" s="750">
        <f>Q218*50%</f>
        <v>5</v>
      </c>
      <c r="S218" s="987"/>
      <c r="T218" s="988"/>
      <c r="U218" s="988"/>
      <c r="V218" s="988"/>
      <c r="W218" s="989"/>
    </row>
    <row r="219" spans="15:33" ht="4.5" customHeight="1" thickBot="1" x14ac:dyDescent="0.25">
      <c r="R219" s="750"/>
      <c r="S219" s="987"/>
      <c r="T219" s="988"/>
      <c r="U219" s="988"/>
      <c r="V219" s="988"/>
      <c r="W219" s="989"/>
    </row>
    <row r="220" spans="15:33" ht="12" thickBot="1" x14ac:dyDescent="0.25">
      <c r="O220" s="748" t="s">
        <v>606</v>
      </c>
      <c r="P220" s="749" t="s">
        <v>607</v>
      </c>
      <c r="Q220" s="751">
        <f>IFERROR(VLOOKUP(P220,T259:U263,2,0),0)</f>
        <v>10</v>
      </c>
      <c r="R220" s="750">
        <f>Q220*50%</f>
        <v>5</v>
      </c>
      <c r="S220" s="987"/>
      <c r="T220" s="988"/>
      <c r="U220" s="988"/>
      <c r="V220" s="988"/>
      <c r="W220" s="989"/>
    </row>
    <row r="221" spans="15:33" ht="4.5" customHeight="1" thickBot="1" x14ac:dyDescent="0.25">
      <c r="R221" s="750"/>
      <c r="S221" s="990"/>
      <c r="T221" s="991"/>
      <c r="U221" s="991"/>
      <c r="V221" s="991"/>
      <c r="W221" s="992"/>
    </row>
    <row r="222" spans="15:33" ht="12" thickBot="1" x14ac:dyDescent="0.25">
      <c r="O222" s="748" t="s">
        <v>608</v>
      </c>
      <c r="P222" s="752" t="s">
        <v>609</v>
      </c>
      <c r="S222" s="753"/>
      <c r="T222" s="753"/>
      <c r="U222" s="753"/>
      <c r="V222" s="753"/>
      <c r="W222" s="753"/>
    </row>
    <row r="223" spans="15:33" ht="4.5" customHeight="1" thickBot="1" x14ac:dyDescent="0.25">
      <c r="R223" s="750"/>
      <c r="S223" s="753"/>
      <c r="T223" s="753"/>
      <c r="U223" s="753"/>
      <c r="V223" s="753"/>
      <c r="W223" s="753"/>
    </row>
    <row r="224" spans="15:33" ht="12" thickBot="1" x14ac:dyDescent="0.25">
      <c r="O224" s="748" t="s">
        <v>610</v>
      </c>
      <c r="P224" s="752">
        <v>5</v>
      </c>
      <c r="Q224" s="751">
        <f>IFERROR(VLOOKUP(P224,X242:Y251,2,0),0)</f>
        <v>5</v>
      </c>
      <c r="R224" s="750">
        <f>Q224*60%</f>
        <v>3</v>
      </c>
      <c r="S224" s="993" t="s">
        <v>611</v>
      </c>
      <c r="T224" s="994"/>
      <c r="U224" s="994"/>
      <c r="V224" s="994"/>
      <c r="W224" s="995"/>
    </row>
    <row r="225" spans="15:25" ht="4.5" customHeight="1" thickBot="1" x14ac:dyDescent="0.25">
      <c r="R225" s="750"/>
      <c r="S225" s="984"/>
      <c r="T225" s="985"/>
      <c r="U225" s="985"/>
      <c r="V225" s="985"/>
      <c r="W225" s="986"/>
    </row>
    <row r="226" spans="15:25" ht="12" thickBot="1" x14ac:dyDescent="0.25">
      <c r="O226" s="748" t="s">
        <v>612</v>
      </c>
      <c r="P226" s="752" t="s">
        <v>613</v>
      </c>
      <c r="Q226" s="751">
        <f>IFERROR(VLOOKUP(P226,U248:V252,2,0),0)</f>
        <v>7</v>
      </c>
      <c r="R226" s="750">
        <f>Q226*40%</f>
        <v>2.8000000000000003</v>
      </c>
      <c r="S226" s="987"/>
      <c r="T226" s="988"/>
      <c r="U226" s="988"/>
      <c r="V226" s="988"/>
      <c r="W226" s="989"/>
    </row>
    <row r="227" spans="15:25" ht="4.5" customHeight="1" thickBot="1" x14ac:dyDescent="0.25">
      <c r="R227" s="750"/>
      <c r="S227" s="987"/>
      <c r="T227" s="988"/>
      <c r="U227" s="988"/>
      <c r="V227" s="988"/>
      <c r="W227" s="989"/>
    </row>
    <row r="228" spans="15:25" ht="12" thickBot="1" x14ac:dyDescent="0.25">
      <c r="O228" s="748" t="s">
        <v>614</v>
      </c>
      <c r="P228" s="752" t="s">
        <v>615</v>
      </c>
      <c r="Q228" s="751">
        <f>IFERROR(VLOOKUP(P228,W255:X263,2,0),0)</f>
        <v>10</v>
      </c>
      <c r="R228" s="750">
        <f>Q228*50%</f>
        <v>5</v>
      </c>
      <c r="S228" s="987"/>
      <c r="T228" s="988"/>
      <c r="U228" s="988"/>
      <c r="V228" s="988"/>
      <c r="W228" s="989"/>
    </row>
    <row r="229" spans="15:25" ht="4.5" customHeight="1" thickBot="1" x14ac:dyDescent="0.25">
      <c r="R229" s="750"/>
      <c r="S229" s="990"/>
      <c r="T229" s="991"/>
      <c r="U229" s="991"/>
      <c r="V229" s="991"/>
      <c r="W229" s="992"/>
    </row>
    <row r="230" spans="15:25" ht="12" thickBot="1" x14ac:dyDescent="0.25">
      <c r="O230" s="748" t="s">
        <v>616</v>
      </c>
      <c r="P230" s="752">
        <v>5</v>
      </c>
      <c r="Q230" s="751">
        <f>IFERROR(VLOOKUP(P230,X241:Y251,2),0)</f>
        <v>5</v>
      </c>
      <c r="R230" s="750">
        <f>Q230*50%</f>
        <v>2.5</v>
      </c>
    </row>
    <row r="231" spans="15:25" ht="4.5" customHeight="1" thickBot="1" x14ac:dyDescent="0.25">
      <c r="O231" s="754"/>
      <c r="Q231" s="751"/>
      <c r="R231" s="755"/>
      <c r="S231" s="753"/>
      <c r="T231" s="753"/>
      <c r="U231" s="753"/>
      <c r="V231" s="753"/>
      <c r="W231" s="753"/>
    </row>
    <row r="232" spans="15:25" ht="12" thickBot="1" x14ac:dyDescent="0.25">
      <c r="O232" s="748" t="s">
        <v>617</v>
      </c>
      <c r="P232" s="752" t="s">
        <v>615</v>
      </c>
      <c r="Q232" s="751">
        <f>IFERROR(VLOOKUP(P232,W255:X263,2),0)</f>
        <v>10</v>
      </c>
      <c r="R232" s="750">
        <f>Q232*15%</f>
        <v>1.5</v>
      </c>
    </row>
    <row r="233" spans="15:25" ht="4.5" customHeight="1" thickBot="1" x14ac:dyDescent="0.25">
      <c r="O233" s="754"/>
      <c r="Q233" s="751"/>
      <c r="R233" s="750"/>
      <c r="S233" s="753"/>
      <c r="T233" s="753"/>
      <c r="U233" s="753"/>
      <c r="V233" s="753"/>
      <c r="W233" s="753"/>
    </row>
    <row r="234" spans="15:25" ht="12" thickBot="1" x14ac:dyDescent="0.25">
      <c r="O234" s="748" t="s">
        <v>618</v>
      </c>
      <c r="P234" s="752">
        <v>5</v>
      </c>
      <c r="Q234" s="751">
        <f>IFERROR(VLOOKUP(P234,X239:Y251,2,0),0)</f>
        <v>5</v>
      </c>
      <c r="R234" s="750">
        <f>Q234*40%</f>
        <v>2</v>
      </c>
    </row>
    <row r="235" spans="15:25" ht="4.5" customHeight="1" thickBot="1" x14ac:dyDescent="0.25">
      <c r="O235" s="754"/>
      <c r="Q235" s="751"/>
      <c r="R235" s="750"/>
      <c r="S235" s="753"/>
      <c r="T235" s="753"/>
      <c r="U235" s="753"/>
      <c r="V235" s="753"/>
      <c r="W235" s="753"/>
    </row>
    <row r="236" spans="15:25" ht="12" thickBot="1" x14ac:dyDescent="0.25">
      <c r="O236" s="748" t="s">
        <v>619</v>
      </c>
      <c r="P236" s="756">
        <v>0</v>
      </c>
      <c r="Q236" s="751" t="e">
        <f>#VALUE!</f>
        <v>#VALUE!</v>
      </c>
      <c r="R236" s="750" t="e">
        <f>Q236*15%</f>
        <v>#VALUE!</v>
      </c>
    </row>
    <row r="237" spans="15:25" ht="4.5" customHeight="1" thickBot="1" x14ac:dyDescent="0.25">
      <c r="O237" s="754"/>
      <c r="Q237" s="751"/>
      <c r="R237" s="750"/>
      <c r="S237" s="753"/>
      <c r="T237" s="753"/>
      <c r="U237" s="753"/>
      <c r="V237" s="753"/>
      <c r="W237" s="753"/>
    </row>
    <row r="238" spans="15:25" ht="12" thickBot="1" x14ac:dyDescent="0.25">
      <c r="O238" s="748" t="s">
        <v>620</v>
      </c>
      <c r="P238" s="756">
        <v>0</v>
      </c>
      <c r="Q238" s="751" t="e">
        <f>#VALUE!</f>
        <v>#VALUE!</v>
      </c>
      <c r="R238" s="750" t="e">
        <f>Q238*15%</f>
        <v>#VALUE!</v>
      </c>
    </row>
    <row r="239" spans="15:25" ht="4.5" customHeight="1" thickBot="1" x14ac:dyDescent="0.25">
      <c r="O239" s="754"/>
      <c r="Q239" s="751"/>
      <c r="R239" s="750"/>
      <c r="S239" s="753"/>
      <c r="T239" s="753"/>
      <c r="U239" s="753"/>
      <c r="V239" s="753"/>
      <c r="W239" s="753"/>
    </row>
    <row r="240" spans="15:25" ht="12" thickBot="1" x14ac:dyDescent="0.25">
      <c r="O240" s="748" t="s">
        <v>621</v>
      </c>
      <c r="P240" s="756">
        <v>0</v>
      </c>
      <c r="Q240" s="751" t="e">
        <f>#VALUE!</f>
        <v>#VALUE!</v>
      </c>
      <c r="R240" s="750" t="e">
        <f>Q240*15%</f>
        <v>#VALUE!</v>
      </c>
      <c r="X240" s="757"/>
      <c r="Y240" s="758"/>
    </row>
    <row r="241" spans="15:25" x14ac:dyDescent="0.2">
      <c r="O241" s="758"/>
      <c r="P241" s="759"/>
      <c r="Q241" s="760"/>
      <c r="R241" s="711"/>
      <c r="T241" s="753"/>
      <c r="U241" s="753"/>
      <c r="V241" s="753"/>
      <c r="W241" s="753"/>
      <c r="Y241" s="758"/>
    </row>
    <row r="242" spans="15:25" x14ac:dyDescent="0.2">
      <c r="O242" s="758"/>
      <c r="P242" s="761"/>
      <c r="Q242" s="760"/>
      <c r="R242" s="711"/>
      <c r="T242" s="753" t="s">
        <v>609</v>
      </c>
      <c r="U242" s="753"/>
      <c r="V242" s="753"/>
      <c r="W242" s="753"/>
      <c r="X242" s="405" t="s">
        <v>622</v>
      </c>
      <c r="Y242" s="758">
        <v>1</v>
      </c>
    </row>
    <row r="243" spans="15:25" x14ac:dyDescent="0.2">
      <c r="O243" s="758"/>
      <c r="P243" s="761"/>
      <c r="Q243" s="760"/>
      <c r="R243" s="711"/>
      <c r="T243" s="762" t="s">
        <v>623</v>
      </c>
      <c r="U243" s="762"/>
      <c r="V243" s="754"/>
      <c r="W243" s="763"/>
      <c r="X243" s="764">
        <v>2</v>
      </c>
      <c r="Y243" s="758">
        <v>2</v>
      </c>
    </row>
    <row r="244" spans="15:25" x14ac:dyDescent="0.2">
      <c r="O244" s="758"/>
      <c r="P244" s="761"/>
      <c r="Q244" s="760"/>
      <c r="R244" s="711"/>
      <c r="T244" s="762" t="s">
        <v>624</v>
      </c>
      <c r="U244" s="762"/>
      <c r="V244" s="754"/>
      <c r="W244" s="765" t="s">
        <v>625</v>
      </c>
      <c r="X244" s="764">
        <v>3</v>
      </c>
      <c r="Y244" s="405">
        <v>3</v>
      </c>
    </row>
    <row r="245" spans="15:25" x14ac:dyDescent="0.2">
      <c r="T245" s="766" t="s">
        <v>626</v>
      </c>
      <c r="U245" s="766"/>
      <c r="V245" s="754"/>
      <c r="W245" s="766" t="s">
        <v>627</v>
      </c>
      <c r="X245" s="764">
        <v>4</v>
      </c>
      <c r="Y245" s="405">
        <v>4</v>
      </c>
    </row>
    <row r="246" spans="15:25" x14ac:dyDescent="0.2">
      <c r="T246" s="766" t="s">
        <v>628</v>
      </c>
      <c r="U246" s="766"/>
      <c r="V246" s="754"/>
      <c r="W246" s="766" t="s">
        <v>629</v>
      </c>
      <c r="X246" s="764">
        <v>5</v>
      </c>
      <c r="Y246" s="405">
        <v>5</v>
      </c>
    </row>
    <row r="247" spans="15:25" x14ac:dyDescent="0.2">
      <c r="T247" s="766" t="s">
        <v>630</v>
      </c>
      <c r="U247" s="766"/>
      <c r="V247" s="754"/>
      <c r="W247" s="766" t="s">
        <v>631</v>
      </c>
      <c r="X247" s="764">
        <v>6</v>
      </c>
      <c r="Y247" s="405">
        <v>6</v>
      </c>
    </row>
    <row r="248" spans="15:25" x14ac:dyDescent="0.2">
      <c r="T248" s="766" t="s">
        <v>632</v>
      </c>
      <c r="U248" s="766" t="s">
        <v>633</v>
      </c>
      <c r="V248" s="767">
        <v>10</v>
      </c>
      <c r="W248" s="766" t="s">
        <v>634</v>
      </c>
      <c r="X248" s="768">
        <v>7</v>
      </c>
      <c r="Y248" s="405">
        <v>7</v>
      </c>
    </row>
    <row r="249" spans="15:25" x14ac:dyDescent="0.2">
      <c r="T249" s="766" t="s">
        <v>635</v>
      </c>
      <c r="U249" s="766" t="s">
        <v>613</v>
      </c>
      <c r="V249" s="767">
        <v>7</v>
      </c>
      <c r="W249" s="766" t="s">
        <v>636</v>
      </c>
      <c r="X249" s="768">
        <v>8</v>
      </c>
      <c r="Y249" s="405">
        <v>8</v>
      </c>
    </row>
    <row r="250" spans="15:25" x14ac:dyDescent="0.2">
      <c r="T250" s="766" t="s">
        <v>637</v>
      </c>
      <c r="U250" s="766" t="s">
        <v>638</v>
      </c>
      <c r="V250" s="767">
        <v>5</v>
      </c>
      <c r="W250" s="766" t="s">
        <v>639</v>
      </c>
      <c r="X250" s="768">
        <v>9</v>
      </c>
      <c r="Y250" s="405">
        <v>9</v>
      </c>
    </row>
    <row r="251" spans="15:25" x14ac:dyDescent="0.2">
      <c r="T251" s="766" t="s">
        <v>640</v>
      </c>
      <c r="U251" s="766" t="s">
        <v>641</v>
      </c>
      <c r="V251" s="767">
        <v>3</v>
      </c>
      <c r="W251" s="766" t="s">
        <v>642</v>
      </c>
      <c r="X251" s="768" t="s">
        <v>643</v>
      </c>
      <c r="Y251" s="405">
        <v>10</v>
      </c>
    </row>
    <row r="252" spans="15:25" x14ac:dyDescent="0.2">
      <c r="T252" s="766" t="s">
        <v>644</v>
      </c>
      <c r="U252" s="766" t="s">
        <v>645</v>
      </c>
      <c r="V252" s="767">
        <v>1</v>
      </c>
      <c r="W252" s="754"/>
    </row>
    <row r="253" spans="15:25" x14ac:dyDescent="0.2">
      <c r="T253" s="766" t="s">
        <v>646</v>
      </c>
      <c r="U253" s="766"/>
      <c r="W253" s="754"/>
    </row>
    <row r="254" spans="15:25" x14ac:dyDescent="0.2">
      <c r="T254" s="766" t="s">
        <v>647</v>
      </c>
      <c r="U254" s="766"/>
    </row>
    <row r="255" spans="15:25" x14ac:dyDescent="0.2">
      <c r="T255" s="766" t="s">
        <v>648</v>
      </c>
      <c r="U255" s="766"/>
      <c r="W255" s="405" t="s">
        <v>615</v>
      </c>
      <c r="X255" s="498">
        <v>10</v>
      </c>
    </row>
    <row r="256" spans="15:25" x14ac:dyDescent="0.2">
      <c r="T256" s="766" t="s">
        <v>649</v>
      </c>
      <c r="U256" s="766"/>
      <c r="W256" s="754" t="s">
        <v>650</v>
      </c>
      <c r="X256" s="498">
        <v>8</v>
      </c>
    </row>
    <row r="257" spans="20:25" x14ac:dyDescent="0.2">
      <c r="T257" s="766"/>
      <c r="U257" s="766"/>
      <c r="W257" s="754" t="s">
        <v>651</v>
      </c>
      <c r="X257" s="498">
        <v>7</v>
      </c>
    </row>
    <row r="258" spans="20:25" x14ac:dyDescent="0.2">
      <c r="T258" s="769"/>
      <c r="U258" s="498"/>
      <c r="W258" s="754" t="s">
        <v>652</v>
      </c>
      <c r="X258" s="498">
        <v>6</v>
      </c>
    </row>
    <row r="259" spans="20:25" x14ac:dyDescent="0.2">
      <c r="T259" s="770" t="s">
        <v>607</v>
      </c>
      <c r="U259" s="498">
        <v>10</v>
      </c>
      <c r="W259" s="405" t="s">
        <v>653</v>
      </c>
      <c r="X259" s="498">
        <v>5</v>
      </c>
      <c r="Y259" s="771"/>
    </row>
    <row r="260" spans="20:25" x14ac:dyDescent="0.2">
      <c r="T260" s="770" t="s">
        <v>654</v>
      </c>
      <c r="U260" s="498">
        <v>7</v>
      </c>
      <c r="W260" s="405" t="s">
        <v>655</v>
      </c>
      <c r="X260" s="498">
        <v>4</v>
      </c>
    </row>
    <row r="261" spans="20:25" x14ac:dyDescent="0.2">
      <c r="T261" s="770" t="s">
        <v>656</v>
      </c>
      <c r="U261" s="760">
        <v>5</v>
      </c>
      <c r="V261" s="758"/>
      <c r="W261" s="405" t="s">
        <v>657</v>
      </c>
      <c r="X261" s="498">
        <v>3</v>
      </c>
    </row>
    <row r="262" spans="20:25" x14ac:dyDescent="0.2">
      <c r="T262" s="772" t="s">
        <v>658</v>
      </c>
      <c r="U262" s="498">
        <v>3</v>
      </c>
      <c r="V262" s="773"/>
      <c r="W262" s="405" t="s">
        <v>659</v>
      </c>
      <c r="X262" s="498">
        <v>2</v>
      </c>
    </row>
    <row r="263" spans="20:25" x14ac:dyDescent="0.15">
      <c r="T263" s="772" t="s">
        <v>660</v>
      </c>
      <c r="U263" s="498">
        <v>1</v>
      </c>
      <c r="V263" s="774"/>
      <c r="W263" s="405" t="s">
        <v>661</v>
      </c>
      <c r="X263" s="498">
        <v>1</v>
      </c>
    </row>
    <row r="264" spans="20:25" x14ac:dyDescent="0.15">
      <c r="T264" s="775"/>
      <c r="U264" s="776"/>
      <c r="V264" s="774"/>
    </row>
    <row r="265" spans="20:25" x14ac:dyDescent="0.15">
      <c r="T265" s="775"/>
      <c r="U265" s="776"/>
      <c r="V265" s="774"/>
      <c r="W265" s="405" t="s">
        <v>605</v>
      </c>
      <c r="X265" s="498">
        <v>10</v>
      </c>
    </row>
    <row r="266" spans="20:25" x14ac:dyDescent="0.15">
      <c r="T266" s="775"/>
      <c r="U266" s="776"/>
      <c r="V266" s="774"/>
      <c r="W266" s="405" t="s">
        <v>662</v>
      </c>
      <c r="X266" s="498">
        <v>7</v>
      </c>
    </row>
    <row r="267" spans="20:25" x14ac:dyDescent="0.15">
      <c r="T267" s="774"/>
      <c r="U267" s="776"/>
      <c r="V267" s="774"/>
      <c r="W267" s="405" t="s">
        <v>663</v>
      </c>
      <c r="X267" s="498">
        <v>3</v>
      </c>
    </row>
    <row r="268" spans="20:25" x14ac:dyDescent="0.15">
      <c r="T268" s="774"/>
      <c r="U268" s="776"/>
      <c r="V268" s="774"/>
      <c r="W268" s="405" t="s">
        <v>664</v>
      </c>
      <c r="X268" s="498">
        <v>1</v>
      </c>
    </row>
  </sheetData>
  <mergeCells count="111">
    <mergeCell ref="AC1:AD3"/>
    <mergeCell ref="C2:G2"/>
    <mergeCell ref="J3:M3"/>
    <mergeCell ref="D4:E4"/>
    <mergeCell ref="F4:G4"/>
    <mergeCell ref="J4:M4"/>
    <mergeCell ref="AC4:AD5"/>
    <mergeCell ref="D5:E6"/>
    <mergeCell ref="F5:G6"/>
    <mergeCell ref="F10:G10"/>
    <mergeCell ref="J10:M10"/>
    <mergeCell ref="D11:E11"/>
    <mergeCell ref="F11:G11"/>
    <mergeCell ref="L11:M11"/>
    <mergeCell ref="L12:M12"/>
    <mergeCell ref="AC6:AD13"/>
    <mergeCell ref="D7:E7"/>
    <mergeCell ref="F7:G7"/>
    <mergeCell ref="D8:E8"/>
    <mergeCell ref="F8:G8"/>
    <mergeCell ref="D9:E9"/>
    <mergeCell ref="F9:G9"/>
    <mergeCell ref="D10:E10"/>
    <mergeCell ref="D12:D13"/>
    <mergeCell ref="E12:E13"/>
    <mergeCell ref="L13:M13"/>
    <mergeCell ref="L14:M14"/>
    <mergeCell ref="AC14:AD15"/>
    <mergeCell ref="AC16:AD23"/>
    <mergeCell ref="C17:G17"/>
    <mergeCell ref="C18:G18"/>
    <mergeCell ref="O18:W18"/>
    <mergeCell ref="C19:G19"/>
    <mergeCell ref="O19:W19"/>
    <mergeCell ref="C20:G20"/>
    <mergeCell ref="O20:W20"/>
    <mergeCell ref="C21:G21"/>
    <mergeCell ref="D22:D23"/>
    <mergeCell ref="E22:E23"/>
    <mergeCell ref="F22:F23"/>
    <mergeCell ref="G22:G23"/>
    <mergeCell ref="P22:Q23"/>
    <mergeCell ref="R22:S23"/>
    <mergeCell ref="T22:U23"/>
    <mergeCell ref="V22:W23"/>
    <mergeCell ref="B61:B62"/>
    <mergeCell ref="AC64:AD65"/>
    <mergeCell ref="AC66:AD73"/>
    <mergeCell ref="AC24:AD25"/>
    <mergeCell ref="AC26:AD33"/>
    <mergeCell ref="B27:B28"/>
    <mergeCell ref="AC34:AD35"/>
    <mergeCell ref="AC36:AD43"/>
    <mergeCell ref="AC44:AD45"/>
    <mergeCell ref="AC74:AD75"/>
    <mergeCell ref="AC76:AD83"/>
    <mergeCell ref="P80:Q80"/>
    <mergeCell ref="R80:S80"/>
    <mergeCell ref="T80:U80"/>
    <mergeCell ref="V80:W80"/>
    <mergeCell ref="AC46:AD53"/>
    <mergeCell ref="AC54:AD55"/>
    <mergeCell ref="AC56:AD63"/>
    <mergeCell ref="O114:W114"/>
    <mergeCell ref="R115:S115"/>
    <mergeCell ref="T115:U115"/>
    <mergeCell ref="V115:W115"/>
    <mergeCell ref="AC115:AD116"/>
    <mergeCell ref="AC117:AD124"/>
    <mergeCell ref="AC84:AD85"/>
    <mergeCell ref="AC86:AD93"/>
    <mergeCell ref="AC95:AD96"/>
    <mergeCell ref="AC97:AD104"/>
    <mergeCell ref="AC105:AD106"/>
    <mergeCell ref="AC107:AD114"/>
    <mergeCell ref="AC137:AD144"/>
    <mergeCell ref="D138:G138"/>
    <mergeCell ref="I139:J139"/>
    <mergeCell ref="I140:J140"/>
    <mergeCell ref="I141:J141"/>
    <mergeCell ref="I142:J142"/>
    <mergeCell ref="I143:J143"/>
    <mergeCell ref="I144:J144"/>
    <mergeCell ref="D123:G123"/>
    <mergeCell ref="O124:W124"/>
    <mergeCell ref="AC125:AD126"/>
    <mergeCell ref="AC127:AD134"/>
    <mergeCell ref="D133:G133"/>
    <mergeCell ref="AC135:AD136"/>
    <mergeCell ref="I136:M136"/>
    <mergeCell ref="AC155:AD156"/>
    <mergeCell ref="AC157:AD164"/>
    <mergeCell ref="D164:G164"/>
    <mergeCell ref="AC165:AD166"/>
    <mergeCell ref="AC167:AD174"/>
    <mergeCell ref="AC175:AD176"/>
    <mergeCell ref="I145:J145"/>
    <mergeCell ref="AC145:AD146"/>
    <mergeCell ref="I146:J146"/>
    <mergeCell ref="I147:J147"/>
    <mergeCell ref="AC147:AD154"/>
    <mergeCell ref="D148:G148"/>
    <mergeCell ref="S217:W221"/>
    <mergeCell ref="S224:W224"/>
    <mergeCell ref="S225:W229"/>
    <mergeCell ref="AC177:AD184"/>
    <mergeCell ref="AC185:AD186"/>
    <mergeCell ref="AC187:AD190"/>
    <mergeCell ref="O191:W191"/>
    <mergeCell ref="O216:Q216"/>
    <mergeCell ref="S216:W216"/>
  </mergeCells>
  <conditionalFormatting sqref="O25:O110 O198:O214">
    <cfRule type="cellIs" dxfId="6" priority="33" stopIfTrue="1" operator="equal">
      <formula>0</formula>
    </cfRule>
  </conditionalFormatting>
  <conditionalFormatting sqref="P138:P144 T138:T144 R138:R144 V138:V144">
    <cfRule type="cellIs" dxfId="5" priority="34" stopIfTrue="1" operator="notEqual">
      <formula>0</formula>
    </cfRule>
  </conditionalFormatting>
  <conditionalFormatting sqref="C20:G20">
    <cfRule type="cellIs" dxfId="4" priority="35" stopIfTrue="1" operator="equal">
      <formula>0</formula>
    </cfRule>
  </conditionalFormatting>
  <conditionalFormatting sqref="O241:O244">
    <cfRule type="cellIs" dxfId="3" priority="32" stopIfTrue="1" operator="equal">
      <formula>0</formula>
    </cfRule>
  </conditionalFormatting>
  <conditionalFormatting sqref="O195:O197">
    <cfRule type="cellIs" dxfId="2" priority="31" stopIfTrue="1" operator="equal">
      <formula>0</formula>
    </cfRule>
  </conditionalFormatting>
  <conditionalFormatting sqref="G78">
    <cfRule type="cellIs" dxfId="1" priority="3" stopIfTrue="1" operator="equal">
      <formula>0</formula>
    </cfRule>
  </conditionalFormatting>
  <conditionalFormatting sqref="D78:F78">
    <cfRule type="cellIs" dxfId="0" priority="1" stopIfTrue="1" operator="equal">
      <formula>0</formula>
    </cfRule>
  </conditionalFormatting>
  <dataValidations disablePrompts="1" count="9">
    <dataValidation type="list" allowBlank="1" showInputMessage="1" showErrorMessage="1" sqref="P230 P234" xr:uid="{00000000-0002-0000-0200-000000000000}">
      <formula1>$X$242:$X$251</formula1>
    </dataValidation>
    <dataValidation type="list" allowBlank="1" showInputMessage="1" showErrorMessage="1" sqref="P220" xr:uid="{00000000-0002-0000-0200-000001000000}">
      <formula1>$T$258:$T$263</formula1>
    </dataValidation>
    <dataValidation type="list" allowBlank="1" showInputMessage="1" showErrorMessage="1" sqref="P235 P237" xr:uid="{00000000-0002-0000-0200-000002000000}">
      <formula1>$T$242:$T$260</formula1>
    </dataValidation>
    <dataValidation type="list" allowBlank="1" showInputMessage="1" showErrorMessage="1" sqref="P222" xr:uid="{00000000-0002-0000-0200-000003000000}">
      <formula1>$T$242:$T$256</formula1>
    </dataValidation>
    <dataValidation type="list" allowBlank="1" showInputMessage="1" showErrorMessage="1" sqref="P224" xr:uid="{00000000-0002-0000-0200-000004000000}">
      <formula1>$X$241:$X$251</formula1>
    </dataValidation>
    <dataValidation type="list" allowBlank="1" showInputMessage="1" showErrorMessage="1" sqref="P226" xr:uid="{00000000-0002-0000-0200-000005000000}">
      <formula1>$U$248:$U$251</formula1>
    </dataValidation>
    <dataValidation type="list" allowBlank="1" showInputMessage="1" showErrorMessage="1" sqref="P228 P232" xr:uid="{00000000-0002-0000-0200-000006000000}">
      <formula1>$W$254:$W$263</formula1>
    </dataValidation>
    <dataValidation type="list" allowBlank="1" showInputMessage="1" showErrorMessage="1" sqref="P218" xr:uid="{00000000-0002-0000-0200-000007000000}">
      <formula1>$W$265:$W$268</formula1>
    </dataValidation>
    <dataValidation type="list" allowBlank="1" showInputMessage="1" showErrorMessage="1" sqref="P241" xr:uid="{00000000-0002-0000-0200-000008000000}">
      <formula1>$P$230:$P$237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S53"/>
  <sheetViews>
    <sheetView topLeftCell="A10" zoomScaleNormal="100" zoomScaleSheetLayoutView="85" workbookViewId="0">
      <selection activeCell="H42" sqref="H42"/>
    </sheetView>
  </sheetViews>
  <sheetFormatPr defaultRowHeight="11.25" x14ac:dyDescent="0.2"/>
  <cols>
    <col min="1" max="1" width="2.42578125" style="133" customWidth="1"/>
    <col min="2" max="2" width="26" style="133" customWidth="1"/>
    <col min="3" max="3" width="11.7109375" style="133" bestFit="1" customWidth="1"/>
    <col min="4" max="4" width="11.42578125" style="133" bestFit="1" customWidth="1"/>
    <col min="5" max="5" width="0.85546875" style="133" customWidth="1"/>
    <col min="6" max="6" width="2.28515625" style="133" customWidth="1"/>
    <col min="7" max="7" width="29.85546875" style="133" customWidth="1"/>
    <col min="8" max="8" width="11.42578125" style="183" bestFit="1" customWidth="1"/>
    <col min="9" max="9" width="10.7109375" style="183" customWidth="1"/>
    <col min="10" max="10" width="0.85546875" style="133" customWidth="1"/>
    <col min="11" max="11" width="2" style="133" customWidth="1"/>
    <col min="12" max="12" width="16.5703125" style="133" customWidth="1"/>
    <col min="13" max="13" width="12.7109375" style="161" customWidth="1"/>
    <col min="14" max="14" width="10.140625" style="161" bestFit="1" customWidth="1"/>
    <col min="15" max="16" width="11.42578125" style="161" bestFit="1" customWidth="1"/>
    <col min="17" max="17" width="9.140625" style="133"/>
    <col min="18" max="18" width="12" style="4" bestFit="1" customWidth="1"/>
    <col min="19" max="19" width="11.140625" style="4" bestFit="1" customWidth="1"/>
    <col min="20" max="16384" width="9.140625" style="4"/>
  </cols>
  <sheetData>
    <row r="1" spans="1:19" ht="9" customHeight="1" thickBot="1" x14ac:dyDescent="0.25"/>
    <row r="2" spans="1:19" ht="16.5" customHeight="1" thickBot="1" x14ac:dyDescent="0.25">
      <c r="D2" s="810"/>
    </row>
    <row r="5" spans="1:19" s="3" customFormat="1" ht="12.75" customHeight="1" x14ac:dyDescent="0.2">
      <c r="A5" s="811"/>
      <c r="B5" s="812" t="s">
        <v>699</v>
      </c>
      <c r="C5" s="165">
        <f>'BS P&amp;L'!G15</f>
        <v>43465</v>
      </c>
      <c r="D5" s="165">
        <f>'BS P&amp;L'!F15</f>
        <v>43100</v>
      </c>
      <c r="E5" s="246"/>
      <c r="F5" s="1098" t="s">
        <v>700</v>
      </c>
      <c r="G5" s="1098"/>
      <c r="H5" s="247">
        <f>C5</f>
        <v>43465</v>
      </c>
      <c r="I5" s="165">
        <f>D5</f>
        <v>43100</v>
      </c>
      <c r="J5" s="248"/>
      <c r="K5" s="1098" t="s">
        <v>703</v>
      </c>
      <c r="L5" s="1098"/>
      <c r="M5" s="165"/>
      <c r="N5" s="165">
        <f>'Projeto Projeção'!D5</f>
        <v>41639</v>
      </c>
      <c r="O5" s="165">
        <f>D5</f>
        <v>43100</v>
      </c>
      <c r="P5" s="249">
        <f>C5</f>
        <v>43465</v>
      </c>
      <c r="Q5" s="250"/>
    </row>
    <row r="6" spans="1:19" ht="28.5" customHeight="1" thickBot="1" x14ac:dyDescent="0.25">
      <c r="A6" s="1099" t="s">
        <v>226</v>
      </c>
      <c r="B6" s="1100"/>
      <c r="C6" s="254"/>
      <c r="D6" s="254"/>
      <c r="E6" s="255"/>
      <c r="F6" s="4"/>
      <c r="G6" s="1101" t="s">
        <v>227</v>
      </c>
      <c r="H6" s="1101"/>
      <c r="I6" s="1101"/>
      <c r="J6" s="255"/>
      <c r="K6" s="4"/>
      <c r="L6" s="4"/>
      <c r="M6" s="134"/>
      <c r="N6" s="134"/>
      <c r="O6" s="134"/>
      <c r="P6" s="134"/>
      <c r="Q6" s="235"/>
    </row>
    <row r="7" spans="1:19" ht="15" customHeight="1" thickBot="1" x14ac:dyDescent="0.25">
      <c r="A7" s="256" t="s">
        <v>195</v>
      </c>
      <c r="B7" s="257"/>
      <c r="C7" s="813">
        <f>'BS P&amp;L'!G76*1000</f>
        <v>0</v>
      </c>
      <c r="D7" s="813">
        <f>'BS P&amp;L'!F76*1000</f>
        <v>0</v>
      </c>
      <c r="E7" s="255"/>
      <c r="F7" s="4"/>
      <c r="G7" s="4" t="s">
        <v>675</v>
      </c>
      <c r="H7" s="816">
        <f>'BS P&amp;L'!G36</f>
        <v>330000</v>
      </c>
      <c r="I7" s="817">
        <f>'BS P&amp;L'!F36</f>
        <v>33000</v>
      </c>
      <c r="J7" s="255"/>
      <c r="K7" s="260" t="s">
        <v>224</v>
      </c>
      <c r="L7" s="4"/>
      <c r="M7" s="261"/>
      <c r="N7" s="788"/>
      <c r="O7" s="788">
        <f>'Projeto Projeção'!F310*1000</f>
        <v>0</v>
      </c>
      <c r="P7" s="788">
        <f>'Projeto Projeção'!H310*1000</f>
        <v>0</v>
      </c>
      <c r="Q7" s="235"/>
      <c r="R7" s="289"/>
    </row>
    <row r="8" spans="1:19" ht="15" customHeight="1" thickBot="1" x14ac:dyDescent="0.25">
      <c r="A8" s="262" t="s">
        <v>196</v>
      </c>
      <c r="B8" s="263" t="s">
        <v>197</v>
      </c>
      <c r="C8" s="814">
        <f>(-'BS P&amp;L'!G30-'BS P&amp;L'!G37)*1000</f>
        <v>-90000000</v>
      </c>
      <c r="D8" s="815">
        <f>(-'BS P&amp;L'!F30-'BS P&amp;L'!F37)*1000</f>
        <v>-9000000</v>
      </c>
      <c r="E8" s="255"/>
      <c r="F8" s="266" t="s">
        <v>209</v>
      </c>
      <c r="G8" s="4" t="s">
        <v>676</v>
      </c>
      <c r="H8" s="816">
        <f>-'BS P&amp;L'!G29</f>
        <v>-25000</v>
      </c>
      <c r="I8" s="817">
        <f>-'BS P&amp;L'!F29</f>
        <v>-2500</v>
      </c>
      <c r="J8" s="255"/>
      <c r="K8" s="266" t="s">
        <v>196</v>
      </c>
      <c r="L8" s="267" t="s">
        <v>210</v>
      </c>
      <c r="M8" s="818">
        <f>'BS P&amp;L'!D95</f>
        <v>255</v>
      </c>
      <c r="N8" s="818">
        <f>'BS P&amp;L'!E95</f>
        <v>0</v>
      </c>
      <c r="O8" s="818">
        <f>'BS P&amp;L'!F95</f>
        <v>0</v>
      </c>
      <c r="P8" s="818">
        <f>'BS P&amp;L'!G95</f>
        <v>0</v>
      </c>
      <c r="Q8" s="235"/>
    </row>
    <row r="9" spans="1:19" ht="15" customHeight="1" thickBot="1" x14ac:dyDescent="0.25">
      <c r="A9" s="262" t="s">
        <v>196</v>
      </c>
      <c r="B9" s="263" t="s">
        <v>198</v>
      </c>
      <c r="C9" s="264"/>
      <c r="D9" s="265"/>
      <c r="E9" s="255"/>
      <c r="F9" s="266"/>
      <c r="G9" s="4"/>
      <c r="H9" s="784"/>
      <c r="I9" s="785"/>
      <c r="J9" s="255"/>
      <c r="K9" s="266" t="s">
        <v>196</v>
      </c>
      <c r="L9" s="267" t="s">
        <v>225</v>
      </c>
      <c r="M9" s="818">
        <f>'BS P&amp;L'!D57</f>
        <v>140</v>
      </c>
      <c r="N9" s="818">
        <f>'BS P&amp;L'!E57</f>
        <v>1400</v>
      </c>
      <c r="O9" s="818">
        <f>'BS P&amp;L'!F57</f>
        <v>14000</v>
      </c>
      <c r="P9" s="818">
        <f>'BS P&amp;L'!G57</f>
        <v>140000</v>
      </c>
      <c r="Q9" s="235"/>
      <c r="R9" s="290"/>
      <c r="S9" s="291"/>
    </row>
    <row r="10" spans="1:19" ht="15" customHeight="1" thickBot="1" x14ac:dyDescent="0.25">
      <c r="A10" s="262" t="s">
        <v>196</v>
      </c>
      <c r="B10" s="263" t="s">
        <v>199</v>
      </c>
      <c r="C10" s="779"/>
      <c r="D10" s="780"/>
      <c r="E10" s="255"/>
      <c r="F10" s="266"/>
      <c r="G10" s="4"/>
      <c r="H10" s="784"/>
      <c r="I10" s="785"/>
      <c r="J10" s="255"/>
      <c r="K10" s="4" t="s">
        <v>192</v>
      </c>
      <c r="L10" s="4"/>
      <c r="M10" s="268">
        <f>SUM(M7:M9)</f>
        <v>395</v>
      </c>
      <c r="N10" s="268">
        <f>SUM(N7:N9)</f>
        <v>1400</v>
      </c>
      <c r="O10" s="268">
        <f>SUM(O7:O9)</f>
        <v>14000</v>
      </c>
      <c r="P10" s="268">
        <f>SUM(P7:P9)</f>
        <v>140000</v>
      </c>
      <c r="Q10" s="235"/>
    </row>
    <row r="11" spans="1:19" ht="15" customHeight="1" thickBot="1" x14ac:dyDescent="0.25">
      <c r="A11" s="262" t="s">
        <v>196</v>
      </c>
      <c r="B11" s="263" t="s">
        <v>200</v>
      </c>
      <c r="C11" s="264"/>
      <c r="D11" s="265"/>
      <c r="E11" s="255"/>
      <c r="F11" s="266"/>
      <c r="G11" s="4"/>
      <c r="H11" s="258" t="s">
        <v>251</v>
      </c>
      <c r="I11" s="259"/>
      <c r="J11" s="255"/>
      <c r="K11" s="4"/>
      <c r="L11" s="4"/>
      <c r="M11" s="268"/>
      <c r="N11" s="268"/>
      <c r="O11" s="268"/>
      <c r="P11" s="268"/>
      <c r="Q11" s="235"/>
    </row>
    <row r="12" spans="1:19" ht="15" customHeight="1" thickBot="1" x14ac:dyDescent="0.25">
      <c r="A12" s="262" t="s">
        <v>196</v>
      </c>
      <c r="B12" s="263" t="s">
        <v>201</v>
      </c>
      <c r="C12" s="264"/>
      <c r="D12" s="265"/>
      <c r="E12" s="255"/>
      <c r="F12" s="4"/>
      <c r="G12" s="4" t="s">
        <v>192</v>
      </c>
      <c r="H12" s="268">
        <f>SUM(H7:H11)</f>
        <v>305000</v>
      </c>
      <c r="I12" s="268">
        <f>SUM(I7:I11)</f>
        <v>30500</v>
      </c>
      <c r="J12" s="255"/>
      <c r="K12" s="4" t="s">
        <v>10</v>
      </c>
      <c r="L12" s="4"/>
      <c r="M12" s="261">
        <f>'BS P&amp;L'!D83</f>
        <v>220</v>
      </c>
      <c r="N12" s="787">
        <f>'BS P&amp;L'!E83</f>
        <v>0</v>
      </c>
      <c r="O12" s="787">
        <f>'BS P&amp;L'!F83</f>
        <v>0</v>
      </c>
      <c r="P12" s="787">
        <f>'BS P&amp;L'!G83</f>
        <v>0</v>
      </c>
      <c r="Q12" s="235"/>
    </row>
    <row r="13" spans="1:19" ht="15" customHeight="1" thickBot="1" x14ac:dyDescent="0.25">
      <c r="A13" s="262" t="s">
        <v>196</v>
      </c>
      <c r="B13" s="263" t="s">
        <v>202</v>
      </c>
      <c r="C13" s="264"/>
      <c r="D13" s="265"/>
      <c r="E13" s="255"/>
      <c r="F13" s="4"/>
      <c r="G13" s="4"/>
      <c r="H13" s="213"/>
      <c r="I13" s="213"/>
      <c r="J13" s="255"/>
      <c r="K13" s="4" t="s">
        <v>208</v>
      </c>
      <c r="L13" s="4"/>
      <c r="M13" s="787">
        <f>'BS P&amp;L'!D110</f>
        <v>340</v>
      </c>
      <c r="N13" s="787">
        <f>'BS P&amp;L'!E110</f>
        <v>0</v>
      </c>
      <c r="O13" s="787">
        <f>'BS P&amp;L'!F110</f>
        <v>0</v>
      </c>
      <c r="P13" s="787">
        <f>'BS P&amp;L'!G110</f>
        <v>0</v>
      </c>
      <c r="Q13" s="235"/>
    </row>
    <row r="14" spans="1:19" ht="15" customHeight="1" thickBot="1" x14ac:dyDescent="0.25">
      <c r="A14" s="262" t="s">
        <v>196</v>
      </c>
      <c r="B14" s="263" t="s">
        <v>203</v>
      </c>
      <c r="C14" s="264"/>
      <c r="D14" s="265"/>
      <c r="E14" s="255"/>
      <c r="F14" s="4"/>
      <c r="G14" s="269" t="s">
        <v>211</v>
      </c>
      <c r="H14" s="777">
        <f>'BS P&amp;L'!G62</f>
        <v>350000</v>
      </c>
      <c r="I14" s="778">
        <f>'BS P&amp;L'!F62</f>
        <v>169000</v>
      </c>
      <c r="J14" s="255"/>
      <c r="K14" s="2" t="s">
        <v>193</v>
      </c>
      <c r="L14" s="2"/>
      <c r="M14" s="268">
        <f>SUM(M10:M13)</f>
        <v>955</v>
      </c>
      <c r="N14" s="268">
        <f>SUM(N10:N13)</f>
        <v>1400</v>
      </c>
      <c r="O14" s="268">
        <f>SUM(O10:O13)</f>
        <v>14000</v>
      </c>
      <c r="P14" s="268">
        <f>SUM(P10:P13)</f>
        <v>140000</v>
      </c>
      <c r="Q14" s="235"/>
    </row>
    <row r="15" spans="1:19" ht="15" customHeight="1" thickBot="1" x14ac:dyDescent="0.25">
      <c r="A15" s="262" t="s">
        <v>204</v>
      </c>
      <c r="B15" s="263" t="s">
        <v>203</v>
      </c>
      <c r="C15" s="264"/>
      <c r="D15" s="265"/>
      <c r="E15" s="255"/>
      <c r="F15" s="4"/>
      <c r="G15" s="269"/>
      <c r="H15" s="264"/>
      <c r="I15" s="265"/>
      <c r="J15" s="255"/>
      <c r="K15" s="4"/>
      <c r="L15" s="4"/>
      <c r="M15" s="134"/>
      <c r="N15" s="134"/>
      <c r="O15" s="134"/>
      <c r="P15" s="134"/>
      <c r="Q15" s="235"/>
    </row>
    <row r="16" spans="1:19" ht="15" customHeight="1" thickBot="1" x14ac:dyDescent="0.25">
      <c r="A16" s="262" t="s">
        <v>205</v>
      </c>
      <c r="B16" s="263" t="s">
        <v>206</v>
      </c>
      <c r="C16" s="270"/>
      <c r="D16" s="271"/>
      <c r="E16" s="255"/>
      <c r="F16" s="4"/>
      <c r="G16" s="269"/>
      <c r="H16" s="264"/>
      <c r="I16" s="265"/>
      <c r="J16" s="255"/>
      <c r="K16" s="4"/>
      <c r="L16" s="4"/>
      <c r="M16" s="134"/>
      <c r="N16" s="134"/>
      <c r="O16" s="134"/>
      <c r="P16" s="134"/>
      <c r="Q16" s="235"/>
    </row>
    <row r="17" spans="1:17" ht="15" customHeight="1" x14ac:dyDescent="0.2">
      <c r="A17" s="256" t="s">
        <v>207</v>
      </c>
      <c r="B17" s="257"/>
      <c r="C17" s="272">
        <f>SUM(C7:C16)</f>
        <v>-90000000</v>
      </c>
      <c r="D17" s="272">
        <f>SUM(D7:D16)</f>
        <v>-9000000</v>
      </c>
      <c r="E17" s="255"/>
      <c r="F17" s="4"/>
      <c r="G17" s="273"/>
      <c r="H17" s="274">
        <f>SUM(H14:H16)</f>
        <v>350000</v>
      </c>
      <c r="I17" s="274">
        <f>SUM(I14:I16)</f>
        <v>169000</v>
      </c>
      <c r="J17" s="255"/>
      <c r="K17" s="4"/>
      <c r="L17" s="4"/>
      <c r="M17" s="134"/>
      <c r="N17" s="134"/>
      <c r="O17" s="134"/>
      <c r="P17" s="134"/>
      <c r="Q17" s="235"/>
    </row>
    <row r="18" spans="1:17" x14ac:dyDescent="0.2">
      <c r="A18" s="212"/>
      <c r="B18" s="4"/>
      <c r="C18" s="4"/>
      <c r="D18" s="4"/>
      <c r="E18" s="255"/>
      <c r="F18" s="4"/>
      <c r="G18" s="4"/>
      <c r="H18" s="213"/>
      <c r="I18" s="213"/>
      <c r="J18" s="255"/>
      <c r="K18" s="4"/>
      <c r="L18" s="4"/>
      <c r="M18" s="134"/>
      <c r="N18" s="134"/>
      <c r="O18" s="134"/>
      <c r="P18" s="134"/>
      <c r="Q18" s="235"/>
    </row>
    <row r="19" spans="1:17" x14ac:dyDescent="0.2">
      <c r="A19" s="212"/>
      <c r="B19" s="4"/>
      <c r="C19" s="4"/>
      <c r="D19" s="4"/>
      <c r="E19" s="255"/>
      <c r="F19" s="4"/>
      <c r="G19" s="2" t="s">
        <v>212</v>
      </c>
      <c r="H19" s="275">
        <f>H12/H17</f>
        <v>0.87142857142857144</v>
      </c>
      <c r="I19" s="275">
        <f>I12/I17</f>
        <v>0.18047337278106509</v>
      </c>
      <c r="J19" s="255"/>
      <c r="K19" s="4"/>
      <c r="L19" s="4"/>
      <c r="M19" s="134"/>
      <c r="N19" s="134"/>
      <c r="O19" s="134"/>
      <c r="P19" s="134"/>
      <c r="Q19" s="235"/>
    </row>
    <row r="20" spans="1:17" x14ac:dyDescent="0.2">
      <c r="A20" s="212"/>
      <c r="B20" s="4"/>
      <c r="C20" s="4"/>
      <c r="D20" s="4"/>
      <c r="E20" s="255"/>
      <c r="F20" s="4"/>
      <c r="G20" s="4"/>
      <c r="H20" s="213"/>
      <c r="I20" s="213"/>
      <c r="J20" s="255"/>
      <c r="K20" s="4"/>
      <c r="L20" s="4"/>
      <c r="M20" s="134"/>
      <c r="N20" s="134"/>
      <c r="O20" s="134"/>
      <c r="P20" s="134"/>
      <c r="Q20" s="235"/>
    </row>
    <row r="21" spans="1:17" x14ac:dyDescent="0.2">
      <c r="A21" s="1102" t="s">
        <v>0</v>
      </c>
      <c r="B21" s="1103"/>
      <c r="C21" s="251">
        <f>C5</f>
        <v>43465</v>
      </c>
      <c r="D21" s="251">
        <f>D5</f>
        <v>43100</v>
      </c>
      <c r="E21" s="252"/>
      <c r="F21" s="1103" t="s">
        <v>169</v>
      </c>
      <c r="G21" s="1103"/>
      <c r="H21" s="251">
        <f>C5</f>
        <v>43465</v>
      </c>
      <c r="I21" s="251">
        <f>D5</f>
        <v>43100</v>
      </c>
      <c r="J21" s="253"/>
      <c r="K21" s="276"/>
      <c r="L21" s="276"/>
      <c r="M21" s="277"/>
      <c r="N21" s="277"/>
      <c r="O21" s="277"/>
      <c r="P21" s="277"/>
      <c r="Q21" s="278"/>
    </row>
    <row r="22" spans="1:17" x14ac:dyDescent="0.2">
      <c r="A22" s="144" t="s">
        <v>1</v>
      </c>
      <c r="B22" s="4"/>
      <c r="C22" s="4"/>
      <c r="D22" s="4"/>
      <c r="E22" s="255"/>
      <c r="F22" s="1097" t="s">
        <v>215</v>
      </c>
      <c r="G22" s="1097"/>
      <c r="H22" s="1097"/>
      <c r="I22" s="1097"/>
      <c r="J22" s="255"/>
      <c r="K22" s="4"/>
      <c r="L22" s="4"/>
      <c r="M22" s="134"/>
      <c r="N22" s="134"/>
      <c r="O22" s="134"/>
      <c r="P22" s="134"/>
      <c r="Q22" s="235"/>
    </row>
    <row r="23" spans="1:17" ht="12" thickBot="1" x14ac:dyDescent="0.25">
      <c r="A23" s="212"/>
      <c r="B23" s="4"/>
      <c r="C23" s="4"/>
      <c r="D23" s="4"/>
      <c r="E23" s="255"/>
      <c r="F23" s="1"/>
      <c r="G23" s="1"/>
      <c r="H23" s="213"/>
      <c r="I23" s="213"/>
      <c r="J23" s="255"/>
      <c r="K23" s="4"/>
      <c r="L23" s="4"/>
      <c r="M23" s="134"/>
      <c r="N23" s="134"/>
      <c r="O23" s="134"/>
      <c r="P23" s="134"/>
      <c r="Q23" s="235"/>
    </row>
    <row r="24" spans="1:17" ht="15" customHeight="1" thickBot="1" x14ac:dyDescent="0.25">
      <c r="A24" s="212" t="s">
        <v>208</v>
      </c>
      <c r="B24" s="4"/>
      <c r="C24" s="782">
        <f>'BS P&amp;L'!G110</f>
        <v>0</v>
      </c>
      <c r="D24" s="783">
        <f>'BS P&amp;L'!F110</f>
        <v>0</v>
      </c>
      <c r="E24" s="255"/>
      <c r="F24" s="4"/>
      <c r="G24" s="4" t="s">
        <v>216</v>
      </c>
      <c r="H24" s="786">
        <f>'BS P&amp;L'!G48+'BS P&amp;L'!G49</f>
        <v>100000</v>
      </c>
      <c r="I24" s="786">
        <f>'BS P&amp;L'!F48+'BS P&amp;L'!F49</f>
        <v>20500</v>
      </c>
      <c r="J24" s="255"/>
      <c r="K24" s="4"/>
      <c r="L24" s="4"/>
      <c r="M24" s="134"/>
      <c r="N24" s="134"/>
      <c r="O24" s="134"/>
      <c r="P24" s="134"/>
      <c r="Q24" s="235"/>
    </row>
    <row r="25" spans="1:17" ht="15" customHeight="1" thickBot="1" x14ac:dyDescent="0.25">
      <c r="A25" s="212" t="s">
        <v>213</v>
      </c>
      <c r="B25" s="4"/>
      <c r="C25" s="782">
        <f>'BS P&amp;L'!G83</f>
        <v>0</v>
      </c>
      <c r="D25" s="783">
        <f>'BS P&amp;L'!F83</f>
        <v>0</v>
      </c>
      <c r="E25" s="255"/>
      <c r="F25" s="266" t="s">
        <v>209</v>
      </c>
      <c r="G25" s="4" t="s">
        <v>217</v>
      </c>
      <c r="H25" s="280"/>
      <c r="I25" s="279"/>
      <c r="J25" s="255"/>
      <c r="K25" s="4"/>
      <c r="L25" s="4"/>
      <c r="M25" s="134"/>
      <c r="N25" s="134"/>
      <c r="O25" s="134"/>
      <c r="P25" s="134"/>
      <c r="Q25" s="235"/>
    </row>
    <row r="26" spans="1:17" ht="15" customHeight="1" thickBot="1" x14ac:dyDescent="0.25">
      <c r="A26" s="226" t="s">
        <v>214</v>
      </c>
      <c r="B26" s="4"/>
      <c r="C26" s="281" t="e">
        <f>C24/C25</f>
        <v>#DIV/0!</v>
      </c>
      <c r="D26" s="781" t="e">
        <f>D24/D25</f>
        <v>#DIV/0!</v>
      </c>
      <c r="E26" s="255"/>
      <c r="F26" s="4" t="s">
        <v>218</v>
      </c>
      <c r="G26" s="4"/>
      <c r="H26" s="213">
        <f>SUM(H24:H25)</f>
        <v>100000</v>
      </c>
      <c r="I26" s="213">
        <f>SUM(I24:I25)</f>
        <v>20500</v>
      </c>
      <c r="J26" s="255"/>
      <c r="K26" s="4"/>
      <c r="L26" s="4"/>
      <c r="M26" s="134"/>
      <c r="N26" s="134"/>
      <c r="O26" s="134"/>
      <c r="P26" s="134"/>
      <c r="Q26" s="235"/>
    </row>
    <row r="27" spans="1:17" ht="15" customHeight="1" thickBot="1" x14ac:dyDescent="0.25">
      <c r="A27" s="212"/>
      <c r="B27" s="4"/>
      <c r="C27" s="4"/>
      <c r="D27" s="4"/>
      <c r="E27" s="255"/>
      <c r="F27" s="4"/>
      <c r="G27" s="4" t="s">
        <v>220</v>
      </c>
      <c r="H27" s="786">
        <f>'BS P&amp;L'!G63+'BS P&amp;L'!G64</f>
        <v>0</v>
      </c>
      <c r="I27" s="786">
        <f>'BS P&amp;L'!F48+'BS P&amp;L'!F49</f>
        <v>20500</v>
      </c>
      <c r="J27" s="255"/>
      <c r="K27" s="4"/>
      <c r="L27" s="4"/>
      <c r="M27" s="134"/>
      <c r="N27" s="134"/>
      <c r="O27" s="134"/>
      <c r="P27" s="134"/>
      <c r="Q27" s="235"/>
    </row>
    <row r="28" spans="1:17" ht="15" customHeight="1" x14ac:dyDescent="0.2">
      <c r="A28" s="212"/>
      <c r="B28" s="4"/>
      <c r="C28" s="4"/>
      <c r="D28" s="4"/>
      <c r="E28" s="255"/>
      <c r="F28" s="4"/>
      <c r="G28" s="266" t="s">
        <v>219</v>
      </c>
      <c r="H28" s="282">
        <f>0.5*H27</f>
        <v>0</v>
      </c>
      <c r="I28" s="282">
        <f>0.5*I27</f>
        <v>10250</v>
      </c>
      <c r="J28" s="255"/>
      <c r="K28" s="4"/>
      <c r="L28" s="4"/>
      <c r="M28" s="134"/>
      <c r="N28" s="134"/>
      <c r="O28" s="134"/>
      <c r="P28" s="134"/>
      <c r="Q28" s="235"/>
    </row>
    <row r="29" spans="1:17" ht="15" customHeight="1" x14ac:dyDescent="0.2">
      <c r="A29" s="212"/>
      <c r="B29" s="4"/>
      <c r="C29" s="4"/>
      <c r="D29" s="4"/>
      <c r="E29" s="255"/>
      <c r="F29" s="2" t="s">
        <v>192</v>
      </c>
      <c r="G29" s="4"/>
      <c r="H29" s="268">
        <f>H28+H26</f>
        <v>100000</v>
      </c>
      <c r="I29" s="268">
        <f>I28+I26</f>
        <v>30750</v>
      </c>
      <c r="J29" s="255"/>
      <c r="K29" s="4"/>
      <c r="L29" s="4"/>
      <c r="M29" s="134"/>
      <c r="N29" s="134"/>
      <c r="O29" s="134"/>
      <c r="P29" s="134"/>
      <c r="Q29" s="235"/>
    </row>
    <row r="30" spans="1:17" ht="15" customHeight="1" thickBot="1" x14ac:dyDescent="0.25">
      <c r="A30" s="212"/>
      <c r="B30" s="4"/>
      <c r="C30" s="4"/>
      <c r="D30" s="4"/>
      <c r="E30" s="255"/>
      <c r="F30" s="4"/>
      <c r="G30" s="4"/>
      <c r="H30" s="213"/>
      <c r="I30" s="213"/>
      <c r="J30" s="255"/>
      <c r="K30" s="4"/>
      <c r="L30" s="4"/>
      <c r="M30" s="134"/>
      <c r="N30" s="134"/>
      <c r="O30" s="134"/>
      <c r="P30" s="134"/>
      <c r="Q30" s="235"/>
    </row>
    <row r="31" spans="1:17" ht="15" customHeight="1" thickBot="1" x14ac:dyDescent="0.25">
      <c r="A31" s="212"/>
      <c r="B31" s="4"/>
      <c r="C31" s="4"/>
      <c r="D31" s="4"/>
      <c r="E31" s="255"/>
      <c r="F31" s="4" t="s">
        <v>221</v>
      </c>
      <c r="G31" s="4"/>
      <c r="H31" s="789">
        <f>'BS P&amp;L'!G47</f>
        <v>770000</v>
      </c>
      <c r="I31" s="786">
        <f>'BS P&amp;L'!F47</f>
        <v>95000</v>
      </c>
      <c r="J31" s="255"/>
      <c r="K31" s="4"/>
      <c r="L31" s="4"/>
      <c r="M31" s="134"/>
      <c r="N31" s="134"/>
      <c r="O31" s="134"/>
      <c r="P31" s="134"/>
      <c r="Q31" s="235"/>
    </row>
    <row r="32" spans="1:17" ht="15" customHeight="1" thickBot="1" x14ac:dyDescent="0.25">
      <c r="A32" s="212"/>
      <c r="B32" s="4"/>
      <c r="C32" s="4"/>
      <c r="D32" s="4"/>
      <c r="E32" s="255"/>
      <c r="F32" s="283" t="s">
        <v>196</v>
      </c>
      <c r="G32" s="263" t="s">
        <v>197</v>
      </c>
      <c r="H32" s="264">
        <f>'BS P&amp;L'!G30</f>
        <v>30000</v>
      </c>
      <c r="I32" s="265">
        <f>'BS P&amp;L'!F30</f>
        <v>3000</v>
      </c>
      <c r="J32" s="255"/>
      <c r="K32" s="4"/>
      <c r="L32" s="4"/>
      <c r="M32" s="134"/>
      <c r="N32" s="134"/>
      <c r="O32" s="134"/>
      <c r="P32" s="134"/>
      <c r="Q32" s="235"/>
    </row>
    <row r="33" spans="1:17" ht="15" hidden="1" customHeight="1" thickBot="1" x14ac:dyDescent="0.25">
      <c r="A33" s="212"/>
      <c r="B33" s="4"/>
      <c r="C33" s="4"/>
      <c r="D33" s="4"/>
      <c r="E33" s="255"/>
      <c r="F33" s="283" t="s">
        <v>196</v>
      </c>
      <c r="G33" s="263" t="s">
        <v>198</v>
      </c>
      <c r="H33" s="264"/>
      <c r="I33" s="265"/>
      <c r="J33" s="255"/>
      <c r="K33" s="4"/>
      <c r="L33" s="4"/>
      <c r="M33" s="134"/>
      <c r="N33" s="134"/>
      <c r="O33" s="134"/>
      <c r="P33" s="134"/>
      <c r="Q33" s="235"/>
    </row>
    <row r="34" spans="1:17" ht="15" hidden="1" customHeight="1" thickBot="1" x14ac:dyDescent="0.25">
      <c r="A34" s="212"/>
      <c r="B34" s="4"/>
      <c r="C34" s="4"/>
      <c r="D34" s="4"/>
      <c r="E34" s="255"/>
      <c r="F34" s="283" t="s">
        <v>196</v>
      </c>
      <c r="G34" s="263" t="s">
        <v>199</v>
      </c>
      <c r="H34" s="779"/>
      <c r="I34" s="780"/>
      <c r="J34" s="255"/>
      <c r="K34" s="4"/>
      <c r="L34" s="4"/>
      <c r="M34" s="134"/>
      <c r="N34" s="134"/>
      <c r="O34" s="134"/>
      <c r="P34" s="134"/>
      <c r="Q34" s="235"/>
    </row>
    <row r="35" spans="1:17" ht="15" hidden="1" customHeight="1" thickBot="1" x14ac:dyDescent="0.25">
      <c r="A35" s="212"/>
      <c r="B35" s="4"/>
      <c r="C35" s="4"/>
      <c r="D35" s="4"/>
      <c r="E35" s="255"/>
      <c r="F35" s="283" t="s">
        <v>196</v>
      </c>
      <c r="G35" s="263" t="s">
        <v>200</v>
      </c>
      <c r="H35" s="264"/>
      <c r="I35" s="265"/>
      <c r="J35" s="255"/>
      <c r="K35" s="4"/>
      <c r="L35" s="4"/>
      <c r="M35" s="134"/>
      <c r="N35" s="134"/>
      <c r="O35" s="134"/>
      <c r="P35" s="134"/>
      <c r="Q35" s="235"/>
    </row>
    <row r="36" spans="1:17" ht="15" hidden="1" customHeight="1" thickBot="1" x14ac:dyDescent="0.25">
      <c r="A36" s="212"/>
      <c r="B36" s="4"/>
      <c r="C36" s="4"/>
      <c r="D36" s="4"/>
      <c r="E36" s="255"/>
      <c r="F36" s="283" t="s">
        <v>196</v>
      </c>
      <c r="G36" s="263" t="s">
        <v>201</v>
      </c>
      <c r="H36" s="264"/>
      <c r="I36" s="265"/>
      <c r="J36" s="255"/>
      <c r="K36" s="4"/>
      <c r="L36" s="4"/>
      <c r="M36" s="134"/>
      <c r="N36" s="134"/>
      <c r="O36" s="134"/>
      <c r="P36" s="134"/>
      <c r="Q36" s="235"/>
    </row>
    <row r="37" spans="1:17" ht="15" hidden="1" customHeight="1" thickBot="1" x14ac:dyDescent="0.25">
      <c r="A37" s="212"/>
      <c r="B37" s="4"/>
      <c r="C37" s="4"/>
      <c r="D37" s="4"/>
      <c r="E37" s="255"/>
      <c r="F37" s="283" t="s">
        <v>196</v>
      </c>
      <c r="G37" s="263" t="s">
        <v>202</v>
      </c>
      <c r="H37" s="264"/>
      <c r="I37" s="265"/>
      <c r="J37" s="255"/>
      <c r="K37" s="4"/>
      <c r="L37" s="4"/>
      <c r="M37" s="134"/>
      <c r="N37" s="134"/>
      <c r="O37" s="134"/>
      <c r="P37" s="134"/>
      <c r="Q37" s="235"/>
    </row>
    <row r="38" spans="1:17" ht="15" hidden="1" customHeight="1" thickBot="1" x14ac:dyDescent="0.25">
      <c r="A38" s="212"/>
      <c r="B38" s="4"/>
      <c r="C38" s="4"/>
      <c r="D38" s="4"/>
      <c r="E38" s="255"/>
      <c r="F38" s="283" t="s">
        <v>196</v>
      </c>
      <c r="G38" s="263" t="s">
        <v>203</v>
      </c>
      <c r="H38" s="264"/>
      <c r="I38" s="265"/>
      <c r="J38" s="255"/>
      <c r="K38" s="4"/>
      <c r="L38" s="4"/>
      <c r="M38" s="134"/>
      <c r="N38" s="134"/>
      <c r="O38" s="134"/>
      <c r="P38" s="134"/>
      <c r="Q38" s="235"/>
    </row>
    <row r="39" spans="1:17" ht="15" customHeight="1" thickBot="1" x14ac:dyDescent="0.25">
      <c r="A39" s="212"/>
      <c r="B39" s="4"/>
      <c r="C39" s="4"/>
      <c r="D39" s="4"/>
      <c r="E39" s="255"/>
      <c r="F39" s="283" t="s">
        <v>204</v>
      </c>
      <c r="G39" s="263" t="s">
        <v>203</v>
      </c>
      <c r="H39" s="264"/>
      <c r="I39" s="265"/>
      <c r="J39" s="255"/>
      <c r="K39" s="4"/>
      <c r="L39" s="4"/>
      <c r="M39" s="134"/>
      <c r="N39" s="134"/>
      <c r="O39" s="134"/>
      <c r="P39" s="134"/>
      <c r="Q39" s="235"/>
    </row>
    <row r="40" spans="1:17" ht="15" customHeight="1" x14ac:dyDescent="0.2">
      <c r="A40" s="212"/>
      <c r="B40" s="4"/>
      <c r="C40" s="4"/>
      <c r="D40" s="4"/>
      <c r="E40" s="255"/>
      <c r="F40" s="2" t="s">
        <v>222</v>
      </c>
      <c r="G40" s="2"/>
      <c r="H40" s="268">
        <f>SUM(H31:H39)</f>
        <v>800000</v>
      </c>
      <c r="I40" s="268">
        <f>SUM(I31:I39)</f>
        <v>98000</v>
      </c>
      <c r="J40" s="255"/>
      <c r="K40" s="4"/>
      <c r="L40" s="4"/>
      <c r="M40" s="134"/>
      <c r="N40" s="134"/>
      <c r="O40" s="134"/>
      <c r="P40" s="134"/>
      <c r="Q40" s="235"/>
    </row>
    <row r="41" spans="1:17" ht="15" customHeight="1" x14ac:dyDescent="0.2">
      <c r="A41" s="212"/>
      <c r="B41" s="4"/>
      <c r="C41" s="4"/>
      <c r="D41" s="4"/>
      <c r="E41" s="255"/>
      <c r="F41" s="4"/>
      <c r="G41" s="4"/>
      <c r="H41" s="213"/>
      <c r="I41" s="213"/>
      <c r="J41" s="255"/>
      <c r="K41" s="4"/>
      <c r="L41" s="4"/>
      <c r="M41" s="134"/>
      <c r="N41" s="134"/>
      <c r="O41" s="134"/>
      <c r="P41" s="134"/>
      <c r="Q41" s="235"/>
    </row>
    <row r="42" spans="1:17" ht="15" customHeight="1" x14ac:dyDescent="0.2">
      <c r="A42" s="212"/>
      <c r="B42" s="4"/>
      <c r="C42" s="4"/>
      <c r="D42" s="4"/>
      <c r="E42" s="255"/>
      <c r="F42" s="2" t="s">
        <v>223</v>
      </c>
      <c r="G42" s="2"/>
      <c r="H42" s="195">
        <f>H29/H40</f>
        <v>0.125</v>
      </c>
      <c r="I42" s="195">
        <f>I29/I40</f>
        <v>0.31377551020408162</v>
      </c>
      <c r="J42" s="255"/>
      <c r="K42" s="4"/>
      <c r="L42" s="4"/>
      <c r="M42" s="134"/>
      <c r="N42" s="134"/>
      <c r="O42" s="134"/>
      <c r="P42" s="134"/>
      <c r="Q42" s="235"/>
    </row>
    <row r="43" spans="1:17" x14ac:dyDescent="0.2">
      <c r="A43" s="284"/>
      <c r="B43" s="285"/>
      <c r="C43" s="285"/>
      <c r="D43" s="285"/>
      <c r="E43" s="286"/>
      <c r="F43" s="285"/>
      <c r="G43" s="285"/>
      <c r="H43" s="225"/>
      <c r="I43" s="225"/>
      <c r="J43" s="286"/>
      <c r="K43" s="285"/>
      <c r="L43" s="285"/>
      <c r="M43" s="287"/>
      <c r="N43" s="287"/>
      <c r="O43" s="287"/>
      <c r="P43" s="287"/>
      <c r="Q43" s="288"/>
    </row>
    <row r="53" spans="1:17" s="2" customFormat="1" x14ac:dyDescent="0.2">
      <c r="A53" s="160"/>
      <c r="B53" s="160"/>
      <c r="C53" s="160"/>
      <c r="D53" s="160"/>
      <c r="E53" s="160"/>
      <c r="F53" s="160"/>
      <c r="G53" s="160"/>
      <c r="H53" s="161"/>
      <c r="I53" s="161"/>
      <c r="J53" s="160"/>
      <c r="K53" s="160"/>
      <c r="L53" s="160"/>
      <c r="M53" s="161"/>
      <c r="N53" s="161"/>
      <c r="O53" s="161"/>
      <c r="P53" s="161"/>
      <c r="Q53" s="160"/>
    </row>
  </sheetData>
  <sheetProtection selectLockedCells="1"/>
  <mergeCells count="7">
    <mergeCell ref="F22:I22"/>
    <mergeCell ref="F5:G5"/>
    <mergeCell ref="K5:L5"/>
    <mergeCell ref="A6:B6"/>
    <mergeCell ref="G6:I6"/>
    <mergeCell ref="A21:B21"/>
    <mergeCell ref="F21:G21"/>
  </mergeCells>
  <phoneticPr fontId="3" type="noConversion"/>
  <pageMargins left="0.78740157499999996" right="0.78740157499999996" top="0.984251969" bottom="0.984251969" header="0.5" footer="0.5"/>
  <pageSetup scale="61" orientation="landscape" r:id="rId1"/>
  <headerFooter alignWithMargins="0"/>
  <ignoredErrors>
    <ignoredError sqref="I19" evalError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84"/>
  <sheetViews>
    <sheetView topLeftCell="A13" zoomScale="90" zoomScaleNormal="90" zoomScaleSheetLayoutView="70" workbookViewId="0">
      <selection activeCell="O14" sqref="O14"/>
    </sheetView>
  </sheetViews>
  <sheetFormatPr defaultRowHeight="11.25" x14ac:dyDescent="0.2"/>
  <cols>
    <col min="1" max="1" width="38.28515625" style="159" customWidth="1"/>
    <col min="2" max="2" width="15.85546875" style="159" bestFit="1" customWidth="1"/>
    <col min="3" max="3" width="12.140625" style="159" customWidth="1"/>
    <col min="4" max="4" width="14.140625" style="159" bestFit="1" customWidth="1"/>
    <col min="5" max="5" width="2.140625" style="159" customWidth="1"/>
    <col min="6" max="6" width="31.5703125" style="159" customWidth="1"/>
    <col min="7" max="7" width="3" style="159" customWidth="1"/>
    <col min="8" max="8" width="8" style="159" customWidth="1"/>
    <col min="9" max="9" width="2" style="159" customWidth="1"/>
    <col min="10" max="10" width="18.42578125" style="159" customWidth="1"/>
    <col min="11" max="11" width="4.5703125" style="159" customWidth="1"/>
    <col min="12" max="12" width="8.28515625" style="159" customWidth="1"/>
    <col min="13" max="13" width="1.140625" style="159" customWidth="1"/>
    <col min="14" max="14" width="26" style="159" customWidth="1"/>
    <col min="15" max="15" width="8.85546875" style="159" customWidth="1"/>
    <col min="16" max="16" width="7.7109375" style="159" customWidth="1"/>
    <col min="17" max="17" width="8.140625" style="159" customWidth="1"/>
    <col min="18" max="18" width="31" style="159" customWidth="1"/>
    <col min="19" max="19" width="9.85546875" style="159" customWidth="1"/>
    <col min="20" max="20" width="12.7109375" style="159" customWidth="1"/>
    <col min="21" max="21" width="9.28515625" style="159" customWidth="1"/>
    <col min="22" max="22" width="8.5703125" style="159" customWidth="1"/>
    <col min="23" max="23" width="8.42578125" style="159" bestFit="1" customWidth="1"/>
    <col min="24" max="26" width="9.140625" style="159"/>
    <col min="27" max="16384" width="9.140625" style="1"/>
  </cols>
  <sheetData>
    <row r="1" spans="1:23" ht="20.25" customHeight="1" x14ac:dyDescent="0.25">
      <c r="A1" s="1122" t="s">
        <v>166</v>
      </c>
      <c r="B1" s="1122"/>
      <c r="C1" s="1122"/>
      <c r="D1" s="1122"/>
      <c r="E1" s="1122"/>
      <c r="F1" s="1122"/>
      <c r="G1" s="1122"/>
      <c r="H1" s="1122"/>
      <c r="I1" s="1122"/>
      <c r="J1" s="1122"/>
      <c r="K1" s="1122"/>
      <c r="L1" s="1122"/>
      <c r="M1" s="1122"/>
      <c r="N1" s="1122"/>
      <c r="O1" s="1122"/>
      <c r="P1" s="1122"/>
      <c r="Q1" s="1122"/>
      <c r="R1" s="1122"/>
      <c r="S1" s="1122"/>
      <c r="T1" s="1122"/>
      <c r="U1" s="1122"/>
      <c r="V1" s="1122"/>
      <c r="W1" s="1122"/>
    </row>
    <row r="2" spans="1:23" ht="12.75" customHeight="1" x14ac:dyDescent="0.2">
      <c r="A2" s="1123" t="s">
        <v>763</v>
      </c>
      <c r="B2" s="1123"/>
      <c r="C2" s="1123"/>
      <c r="D2" s="1123"/>
      <c r="E2" s="1123"/>
      <c r="F2" s="1123"/>
      <c r="G2" s="1123"/>
      <c r="H2" s="1123"/>
      <c r="I2" s="1123"/>
      <c r="J2" s="1123"/>
      <c r="K2" s="1123"/>
      <c r="L2" s="1123"/>
      <c r="M2" s="1123"/>
      <c r="N2" s="1123"/>
      <c r="O2" s="1123"/>
      <c r="P2" s="1123"/>
      <c r="Q2" s="1123"/>
      <c r="R2" s="1123"/>
      <c r="S2" s="1123"/>
      <c r="T2" s="1123"/>
      <c r="U2" s="1123"/>
      <c r="V2" s="1123"/>
      <c r="W2" s="1123"/>
    </row>
    <row r="3" spans="1:23" ht="12" thickBot="1" x14ac:dyDescent="0.25"/>
    <row r="4" spans="1:23" ht="15" customHeight="1" thickTop="1" thickBot="1" x14ac:dyDescent="0.25">
      <c r="A4" s="793" t="s">
        <v>697</v>
      </c>
      <c r="B4" s="160"/>
      <c r="C4" s="1130">
        <f>'BS P&amp;L'!G15</f>
        <v>43465</v>
      </c>
      <c r="D4" s="1131"/>
      <c r="E4" s="1132"/>
      <c r="H4" s="794"/>
    </row>
    <row r="5" spans="1:23" ht="3" customHeight="1" thickTop="1" x14ac:dyDescent="0.2">
      <c r="A5" s="160"/>
      <c r="B5" s="160"/>
    </row>
    <row r="6" spans="1:23" ht="15" customHeight="1" x14ac:dyDescent="0.2">
      <c r="A6" s="793" t="s">
        <v>693</v>
      </c>
      <c r="B6" s="160"/>
      <c r="C6" s="1127">
        <f>'BS P&amp;L'!C2</f>
        <v>0</v>
      </c>
      <c r="D6" s="1128"/>
      <c r="E6" s="1128"/>
      <c r="F6" s="1128"/>
      <c r="G6" s="1129"/>
    </row>
    <row r="7" spans="1:23" ht="2.25" customHeight="1" x14ac:dyDescent="0.2"/>
    <row r="8" spans="1:23" ht="15" customHeight="1" x14ac:dyDescent="0.2">
      <c r="A8" s="793" t="s">
        <v>694</v>
      </c>
      <c r="B8" s="160"/>
      <c r="C8" s="1124"/>
      <c r="D8" s="1125"/>
      <c r="E8" s="1125"/>
      <c r="F8" s="1125"/>
      <c r="G8" s="1126"/>
      <c r="H8" s="792" t="s">
        <v>698</v>
      </c>
      <c r="I8" s="164"/>
    </row>
    <row r="9" spans="1:23" ht="2.25" customHeight="1" x14ac:dyDescent="0.2">
      <c r="A9" s="160"/>
      <c r="B9" s="160"/>
      <c r="C9" s="163"/>
      <c r="D9" s="163"/>
      <c r="E9" s="163"/>
      <c r="F9" s="163"/>
      <c r="G9" s="163"/>
      <c r="I9" s="164"/>
    </row>
    <row r="10" spans="1:23" ht="15" customHeight="1" x14ac:dyDescent="0.2">
      <c r="A10" s="793" t="s">
        <v>695</v>
      </c>
      <c r="B10" s="160"/>
      <c r="C10" s="1104"/>
      <c r="D10" s="1105"/>
      <c r="E10" s="1106"/>
      <c r="F10" s="166"/>
      <c r="G10" s="163"/>
      <c r="I10" s="164"/>
    </row>
    <row r="11" spans="1:23" ht="2.25" customHeight="1" x14ac:dyDescent="0.2">
      <c r="C11" s="163"/>
      <c r="D11" s="163"/>
      <c r="E11" s="163"/>
      <c r="F11" s="163"/>
      <c r="G11" s="163"/>
      <c r="I11" s="164"/>
    </row>
    <row r="12" spans="1:23" ht="15" customHeight="1" x14ac:dyDescent="0.2">
      <c r="A12" s="793" t="s">
        <v>696</v>
      </c>
      <c r="B12" s="160"/>
      <c r="C12" s="161">
        <v>16</v>
      </c>
      <c r="D12" s="161"/>
      <c r="E12" s="161"/>
      <c r="N12" s="1107" t="s">
        <v>705</v>
      </c>
    </row>
    <row r="13" spans="1:23" ht="12" thickBot="1" x14ac:dyDescent="0.25">
      <c r="N13" s="1108"/>
    </row>
    <row r="14" spans="1:23" ht="18" customHeight="1" thickTop="1" thickBot="1" x14ac:dyDescent="0.25">
      <c r="A14" s="806" t="s">
        <v>699</v>
      </c>
      <c r="B14" s="188"/>
      <c r="C14" s="189"/>
      <c r="D14" s="190">
        <f>'Input Calculations'!C17/'BS P&amp;L'!F5</f>
        <v>-28846153.846153844</v>
      </c>
      <c r="E14" s="1"/>
      <c r="F14" s="806" t="s">
        <v>700</v>
      </c>
      <c r="G14" s="191"/>
      <c r="H14" s="192">
        <f>'Input Calculations'!H19</f>
        <v>0.87142857142857144</v>
      </c>
      <c r="I14" s="1"/>
      <c r="J14" s="806" t="s">
        <v>701</v>
      </c>
      <c r="K14" s="191"/>
      <c r="L14" s="193" t="e">
        <f>'Input Calculations'!C26</f>
        <v>#DIV/0!</v>
      </c>
      <c r="M14" s="1"/>
      <c r="N14" s="806" t="s">
        <v>702</v>
      </c>
      <c r="O14" s="194">
        <f>'Input Calculations'!H42</f>
        <v>0.125</v>
      </c>
      <c r="P14" s="195"/>
      <c r="Q14" s="1"/>
      <c r="R14" s="806" t="s">
        <v>703</v>
      </c>
      <c r="S14" s="196">
        <f>S35</f>
        <v>0</v>
      </c>
      <c r="V14" s="168"/>
    </row>
    <row r="15" spans="1:23" ht="12" thickTop="1" x14ac:dyDescent="0.2">
      <c r="A15" s="197" t="s">
        <v>690</v>
      </c>
      <c r="B15" s="198"/>
      <c r="C15" s="198"/>
      <c r="D15" s="199"/>
      <c r="E15" s="1"/>
      <c r="F15" s="212" t="s">
        <v>691</v>
      </c>
      <c r="G15" s="1"/>
      <c r="H15" s="199"/>
      <c r="I15" s="1"/>
      <c r="J15" s="212" t="s">
        <v>692</v>
      </c>
      <c r="K15" s="1"/>
      <c r="L15" s="145"/>
      <c r="M15" s="1"/>
      <c r="N15" s="212" t="s">
        <v>706</v>
      </c>
      <c r="O15" s="145"/>
      <c r="P15" s="1"/>
      <c r="Q15" s="1"/>
      <c r="R15" s="144" t="s">
        <v>2</v>
      </c>
      <c r="S15" s="153"/>
    </row>
    <row r="16" spans="1:23" x14ac:dyDescent="0.2">
      <c r="A16" s="197"/>
      <c r="B16" s="198"/>
      <c r="C16" s="198"/>
      <c r="D16" s="199"/>
      <c r="E16" s="1"/>
      <c r="F16" s="797" t="s">
        <v>167</v>
      </c>
      <c r="G16" s="1"/>
      <c r="H16" s="199"/>
      <c r="I16" s="1"/>
      <c r="J16" s="797" t="s">
        <v>1</v>
      </c>
      <c r="K16" s="1"/>
      <c r="L16" s="145"/>
      <c r="M16" s="1"/>
      <c r="N16" s="212" t="s">
        <v>707</v>
      </c>
      <c r="O16" s="145"/>
      <c r="P16" s="1"/>
      <c r="Q16" s="1"/>
      <c r="R16" s="144" t="s">
        <v>3</v>
      </c>
      <c r="S16" s="153"/>
    </row>
    <row r="17" spans="1:26" x14ac:dyDescent="0.2">
      <c r="A17" s="197"/>
      <c r="B17" s="198"/>
      <c r="C17" s="198"/>
      <c r="D17" s="199"/>
      <c r="E17" s="1"/>
      <c r="F17" s="797" t="s">
        <v>168</v>
      </c>
      <c r="G17" s="1"/>
      <c r="H17" s="145"/>
      <c r="I17" s="1"/>
      <c r="J17" s="144"/>
      <c r="K17" s="1"/>
      <c r="L17" s="145"/>
      <c r="M17" s="1"/>
      <c r="N17" s="144"/>
      <c r="O17" s="145"/>
      <c r="P17" s="1"/>
      <c r="Q17" s="1"/>
      <c r="R17" s="144" t="s">
        <v>4</v>
      </c>
      <c r="S17" s="153"/>
    </row>
    <row r="18" spans="1:26" x14ac:dyDescent="0.2">
      <c r="A18" s="197" t="s">
        <v>704</v>
      </c>
      <c r="B18" s="198"/>
      <c r="C18" s="198"/>
      <c r="D18" s="200" t="s">
        <v>708</v>
      </c>
      <c r="E18" s="1"/>
      <c r="F18" s="212" t="s">
        <v>704</v>
      </c>
      <c r="G18" s="1"/>
      <c r="H18" s="153" t="s">
        <v>708</v>
      </c>
      <c r="I18" s="1"/>
      <c r="J18" s="212" t="s">
        <v>704</v>
      </c>
      <c r="K18" s="1"/>
      <c r="L18" s="153" t="s">
        <v>708</v>
      </c>
      <c r="M18" s="1"/>
      <c r="N18" s="212" t="s">
        <v>704</v>
      </c>
      <c r="O18" s="153" t="s">
        <v>708</v>
      </c>
      <c r="P18" s="139"/>
      <c r="Q18" s="1"/>
      <c r="R18" s="212" t="s">
        <v>704</v>
      </c>
      <c r="S18" s="153" t="s">
        <v>708</v>
      </c>
    </row>
    <row r="19" spans="1:26" x14ac:dyDescent="0.2">
      <c r="A19" s="197"/>
      <c r="B19" s="198"/>
      <c r="C19" s="198"/>
      <c r="D19" s="200"/>
      <c r="E19" s="1"/>
      <c r="F19" s="144"/>
      <c r="G19" s="1"/>
      <c r="H19" s="153"/>
      <c r="I19" s="1"/>
      <c r="J19" s="144"/>
      <c r="K19" s="1"/>
      <c r="L19" s="153"/>
      <c r="M19" s="1"/>
      <c r="N19" s="144"/>
      <c r="O19" s="153"/>
      <c r="P19" s="139"/>
      <c r="Q19" s="1"/>
      <c r="R19" s="212"/>
      <c r="S19" s="153"/>
    </row>
    <row r="20" spans="1:26" x14ac:dyDescent="0.2">
      <c r="A20" s="197" t="s">
        <v>761</v>
      </c>
      <c r="B20" s="198"/>
      <c r="C20" s="198"/>
      <c r="D20" s="200">
        <v>0</v>
      </c>
      <c r="E20" s="1"/>
      <c r="F20" s="144"/>
      <c r="G20" s="1"/>
      <c r="H20" s="153"/>
      <c r="I20" s="1"/>
      <c r="J20" s="212" t="s">
        <v>759</v>
      </c>
      <c r="K20" s="1"/>
      <c r="L20" s="153">
        <v>0</v>
      </c>
      <c r="M20" s="1"/>
      <c r="N20" s="144" t="s">
        <v>170</v>
      </c>
      <c r="O20" s="153">
        <v>0</v>
      </c>
      <c r="P20" s="139"/>
      <c r="Q20" s="1"/>
      <c r="R20" s="144" t="s">
        <v>5</v>
      </c>
      <c r="S20" s="153">
        <v>10</v>
      </c>
    </row>
    <row r="21" spans="1:26" x14ac:dyDescent="0.2">
      <c r="A21" s="197" t="s">
        <v>667</v>
      </c>
      <c r="B21" s="198"/>
      <c r="C21" s="198"/>
      <c r="D21" s="200">
        <v>10</v>
      </c>
      <c r="E21" s="1"/>
      <c r="F21" s="212" t="s">
        <v>760</v>
      </c>
      <c r="G21" s="1"/>
      <c r="H21" s="153">
        <v>0</v>
      </c>
      <c r="I21" s="1"/>
      <c r="J21" s="212" t="s">
        <v>746</v>
      </c>
      <c r="K21" s="1"/>
      <c r="L21" s="153">
        <v>6</v>
      </c>
      <c r="M21" s="1"/>
      <c r="N21" s="212" t="s">
        <v>747</v>
      </c>
      <c r="O21" s="153">
        <v>12</v>
      </c>
      <c r="P21" s="139"/>
      <c r="Q21" s="1"/>
      <c r="R21" s="201" t="s">
        <v>7</v>
      </c>
      <c r="S21" s="153">
        <v>5</v>
      </c>
    </row>
    <row r="22" spans="1:26" x14ac:dyDescent="0.2">
      <c r="A22" s="197" t="s">
        <v>668</v>
      </c>
      <c r="B22" s="198"/>
      <c r="C22" s="198"/>
      <c r="D22" s="200">
        <v>18</v>
      </c>
      <c r="E22" s="1"/>
      <c r="F22" s="212" t="s">
        <v>748</v>
      </c>
      <c r="G22" s="1"/>
      <c r="H22" s="153">
        <v>15</v>
      </c>
      <c r="I22" s="1"/>
      <c r="J22" s="212" t="s">
        <v>749</v>
      </c>
      <c r="K22" s="1"/>
      <c r="L22" s="153">
        <v>11</v>
      </c>
      <c r="M22" s="1"/>
      <c r="N22" s="144" t="s">
        <v>750</v>
      </c>
      <c r="O22" s="153">
        <v>25</v>
      </c>
      <c r="P22" s="139"/>
      <c r="Q22" s="1"/>
      <c r="R22" s="201" t="s">
        <v>8</v>
      </c>
      <c r="S22" s="153">
        <v>0</v>
      </c>
    </row>
    <row r="23" spans="1:26" x14ac:dyDescent="0.2">
      <c r="A23" s="197" t="s">
        <v>669</v>
      </c>
      <c r="B23" s="198"/>
      <c r="C23" s="198"/>
      <c r="D23" s="200">
        <v>25</v>
      </c>
      <c r="E23" s="1"/>
      <c r="F23" s="212" t="s">
        <v>751</v>
      </c>
      <c r="G23" s="1"/>
      <c r="H23" s="153">
        <v>30</v>
      </c>
      <c r="I23" s="1"/>
      <c r="J23" s="212" t="s">
        <v>752</v>
      </c>
      <c r="K23" s="1"/>
      <c r="L23" s="153">
        <v>16</v>
      </c>
      <c r="M23" s="1"/>
      <c r="N23" s="144" t="s">
        <v>753</v>
      </c>
      <c r="O23" s="153">
        <v>37</v>
      </c>
      <c r="P23" s="139"/>
      <c r="Q23" s="1"/>
      <c r="R23" s="201" t="s">
        <v>9</v>
      </c>
      <c r="S23" s="153">
        <v>-5</v>
      </c>
    </row>
    <row r="24" spans="1:26" x14ac:dyDescent="0.2">
      <c r="A24" s="197" t="s">
        <v>670</v>
      </c>
      <c r="B24" s="198"/>
      <c r="C24" s="198"/>
      <c r="D24" s="200">
        <v>30</v>
      </c>
      <c r="E24" s="1"/>
      <c r="F24" s="212" t="s">
        <v>754</v>
      </c>
      <c r="G24" s="1"/>
      <c r="H24" s="153">
        <v>45</v>
      </c>
      <c r="I24" s="1"/>
      <c r="J24" s="212" t="s">
        <v>755</v>
      </c>
      <c r="K24" s="1"/>
      <c r="L24" s="153">
        <v>21</v>
      </c>
      <c r="M24" s="1"/>
      <c r="N24" s="144" t="s">
        <v>756</v>
      </c>
      <c r="O24" s="153">
        <v>50</v>
      </c>
      <c r="P24" s="139"/>
      <c r="Q24" s="202"/>
      <c r="R24" s="144" t="s">
        <v>6</v>
      </c>
      <c r="S24" s="153">
        <v>-10</v>
      </c>
    </row>
    <row r="25" spans="1:26" x14ac:dyDescent="0.2">
      <c r="A25" s="197" t="s">
        <v>671</v>
      </c>
      <c r="B25" s="198"/>
      <c r="C25" s="198"/>
      <c r="D25" s="200">
        <v>50</v>
      </c>
      <c r="E25" s="1"/>
      <c r="F25" s="212" t="s">
        <v>674</v>
      </c>
      <c r="G25" s="1"/>
      <c r="H25" s="153">
        <v>60</v>
      </c>
      <c r="I25" s="1"/>
      <c r="J25" s="212" t="s">
        <v>757</v>
      </c>
      <c r="K25" s="1"/>
      <c r="L25" s="153">
        <v>28</v>
      </c>
      <c r="M25" s="1"/>
      <c r="N25" s="144" t="s">
        <v>752</v>
      </c>
      <c r="O25" s="153">
        <v>62</v>
      </c>
      <c r="P25" s="139"/>
      <c r="Q25" s="1"/>
      <c r="R25" s="144"/>
      <c r="S25" s="153"/>
    </row>
    <row r="26" spans="1:26" x14ac:dyDescent="0.2">
      <c r="A26" s="197" t="s">
        <v>672</v>
      </c>
      <c r="B26" s="198"/>
      <c r="C26" s="198"/>
      <c r="D26" s="200">
        <v>60</v>
      </c>
      <c r="E26" s="1"/>
      <c r="F26" s="144"/>
      <c r="G26" s="1"/>
      <c r="H26" s="153"/>
      <c r="I26" s="1"/>
      <c r="J26" s="212" t="s">
        <v>758</v>
      </c>
      <c r="K26" s="1"/>
      <c r="L26" s="153">
        <v>34</v>
      </c>
      <c r="M26" s="1"/>
      <c r="N26" s="212" t="s">
        <v>745</v>
      </c>
      <c r="O26" s="153">
        <v>75</v>
      </c>
      <c r="P26" s="1"/>
      <c r="Q26" s="1"/>
      <c r="R26" s="144"/>
      <c r="S26" s="153"/>
    </row>
    <row r="27" spans="1:26" x14ac:dyDescent="0.2">
      <c r="A27" s="197" t="s">
        <v>673</v>
      </c>
      <c r="B27" s="198"/>
      <c r="C27" s="198"/>
      <c r="D27" s="200">
        <v>70</v>
      </c>
      <c r="E27" s="1"/>
      <c r="F27" s="144"/>
      <c r="G27" s="1"/>
      <c r="H27" s="153"/>
      <c r="I27" s="1"/>
      <c r="J27" s="144"/>
      <c r="K27" s="1"/>
      <c r="L27" s="145"/>
      <c r="M27" s="1"/>
      <c r="N27" s="144"/>
      <c r="O27" s="145"/>
      <c r="P27" s="1"/>
      <c r="Q27" s="1"/>
      <c r="R27" s="144"/>
      <c r="S27" s="153"/>
    </row>
    <row r="28" spans="1:26" x14ac:dyDescent="0.2">
      <c r="A28" s="197"/>
      <c r="B28" s="198"/>
      <c r="C28" s="198"/>
      <c r="D28" s="200"/>
      <c r="E28" s="1"/>
      <c r="F28" s="144"/>
      <c r="G28" s="1"/>
      <c r="H28" s="153"/>
      <c r="I28" s="1"/>
      <c r="J28" s="144"/>
      <c r="K28" s="1"/>
      <c r="L28" s="145"/>
      <c r="M28" s="1"/>
      <c r="N28" s="144"/>
      <c r="O28" s="145"/>
      <c r="P28" s="1"/>
      <c r="Q28" s="1"/>
      <c r="R28" s="144"/>
      <c r="S28" s="153"/>
    </row>
    <row r="29" spans="1:26" x14ac:dyDescent="0.2">
      <c r="A29" s="197"/>
      <c r="B29" s="198"/>
      <c r="C29" s="198"/>
      <c r="D29" s="199"/>
      <c r="E29" s="1"/>
      <c r="F29" s="144"/>
      <c r="G29" s="1"/>
      <c r="H29" s="153"/>
      <c r="I29" s="1"/>
      <c r="J29" s="154"/>
      <c r="K29" s="157"/>
      <c r="L29" s="145"/>
      <c r="M29" s="1"/>
      <c r="N29" s="144"/>
      <c r="O29" s="145"/>
      <c r="P29" s="1"/>
      <c r="Q29" s="1"/>
      <c r="R29" s="154"/>
      <c r="S29" s="156"/>
    </row>
    <row r="30" spans="1:26" x14ac:dyDescent="0.2">
      <c r="A30" s="799" t="s">
        <v>708</v>
      </c>
      <c r="B30" s="204"/>
      <c r="C30" s="204"/>
      <c r="D30" s="209">
        <f>IF(D14&lt;=5000000,0,IF(AND(5000000&lt;D14,D14&lt;=50000000),10,IF(AND(50000000&lt;D14,D14&lt;=100000000),18,IF(AND(100000000&lt;D14,D14&lt;=500000000),25,IF(AND(500000000&lt;D14,D14&lt;=1000000000),30,IF(AND(1000000000&lt;D14,D14&lt;=2000000000),50,IF(AND(2000000000&lt;D14,D14&lt;=4000000000),60,IF(D14&gt;4000000000,70))))))))</f>
        <v>0</v>
      </c>
      <c r="E30" s="1"/>
      <c r="F30" s="800" t="s">
        <v>708</v>
      </c>
      <c r="G30" s="206"/>
      <c r="H30" s="209">
        <f>IF(H14&lt;=0.25,0,IF(AND(0.25&lt;H14,H14&lt;=1),15,IF(AND(1&lt;H14,H14&lt;=2),30,IF(AND(2&lt;H14,H14&lt;=3),45,IF(H14&gt;3,60)))))</f>
        <v>15</v>
      </c>
      <c r="I30" s="1"/>
      <c r="J30" s="801" t="s">
        <v>708</v>
      </c>
      <c r="K30" s="208"/>
      <c r="L30" s="209" t="e">
        <f>IF(L14&lt;=0.01,0,IF(AND(0.01&lt;L14,L14&lt;=0.03),6,IF(AND(0.03&lt;L14,L14&lt;=0.05),11,IF(AND(0.05&lt;L14,L14&lt;=0.09),16,IF(AND(0.09&lt;L14,L14&lt;=0.13),21,IF(AND(0.13&lt;L14,L14&lt;=0.17),28,IF(L14&gt;0.17,34)))))))</f>
        <v>#DIV/0!</v>
      </c>
      <c r="M30" s="1"/>
      <c r="N30" s="800" t="s">
        <v>708</v>
      </c>
      <c r="O30" s="205">
        <f>IF(O14&lt;=0.05,75,IF(AND(0.05&lt;O14,O14&lt;=0.09),62,IF(AND(0.09&lt;O14,O14&lt;=0.15),50,IF(AND(0.15&lt;O14,O14&lt;=0.25),37,IF(AND(0.25&lt;O14,O14&lt;=0.35),25,IF(AND(0.35&lt;O14,O14&lt;=0.45),12,IF(O14&gt;0.45,0)))))))</f>
        <v>50</v>
      </c>
      <c r="P30" s="134"/>
      <c r="Q30" s="1"/>
      <c r="R30" s="803" t="s">
        <v>718</v>
      </c>
      <c r="S30" s="209">
        <f>IF(AND(S14&gt;=0,S14&lt;=3),-10,IF(AND(S14&gt;3,S14&lt;=7),-5,IF(AND(S14&gt;7,S14&lt;=11),0,IF(AND(S14&gt;11,S14&lt;=15),5,IF(AND(S14&gt;15,S14&lt;=18),10)))))</f>
        <v>-10</v>
      </c>
    </row>
    <row r="31" spans="1:26" ht="12" thickBot="1" x14ac:dyDescent="0.25">
      <c r="A31" s="799"/>
      <c r="B31" s="204"/>
      <c r="C31" s="204"/>
      <c r="D31" s="134"/>
      <c r="E31" s="1"/>
      <c r="F31" s="800"/>
      <c r="G31" s="206"/>
      <c r="H31" s="804"/>
      <c r="I31" s="1"/>
      <c r="J31" s="800"/>
      <c r="K31" s="206"/>
      <c r="L31" s="134"/>
      <c r="M31" s="1"/>
      <c r="N31" s="800"/>
      <c r="O31" s="245"/>
      <c r="P31" s="134"/>
      <c r="Q31" s="1"/>
      <c r="R31" s="805"/>
      <c r="S31" s="209"/>
    </row>
    <row r="32" spans="1:26" ht="12.75" thickTop="1" thickBot="1" x14ac:dyDescent="0.25">
      <c r="A32" s="807" t="s">
        <v>716</v>
      </c>
      <c r="B32" s="1120" t="s">
        <v>715</v>
      </c>
      <c r="C32" s="1121"/>
      <c r="D32" s="795"/>
      <c r="F32" s="808" t="s">
        <v>719</v>
      </c>
      <c r="G32" s="167"/>
      <c r="H32" s="795"/>
      <c r="J32" s="808" t="s">
        <v>22</v>
      </c>
      <c r="K32" s="167"/>
      <c r="L32" s="796"/>
      <c r="M32" s="167"/>
      <c r="N32" s="808" t="s">
        <v>720</v>
      </c>
      <c r="O32" s="167"/>
      <c r="P32" s="795"/>
      <c r="Q32" s="169"/>
      <c r="R32" s="809" t="s">
        <v>721</v>
      </c>
      <c r="S32" s="210" t="s">
        <v>11</v>
      </c>
      <c r="T32" s="140" t="s">
        <v>12</v>
      </c>
      <c r="U32" s="140" t="s">
        <v>13</v>
      </c>
      <c r="V32" s="140" t="s">
        <v>14</v>
      </c>
      <c r="W32" s="211" t="s">
        <v>15</v>
      </c>
      <c r="X32" s="1"/>
      <c r="Y32" s="1"/>
      <c r="Z32" s="1"/>
    </row>
    <row r="33" spans="1:26" x14ac:dyDescent="0.2">
      <c r="A33" s="1137" t="s">
        <v>737</v>
      </c>
      <c r="B33" s="213"/>
      <c r="C33" s="1139" t="s">
        <v>888</v>
      </c>
      <c r="D33" s="1140"/>
      <c r="F33" s="144"/>
      <c r="G33" s="1"/>
      <c r="H33" s="215"/>
      <c r="J33" s="212" t="s">
        <v>723</v>
      </c>
      <c r="K33" s="1"/>
      <c r="L33" s="145"/>
      <c r="N33" s="144"/>
      <c r="O33" s="1"/>
      <c r="P33" s="215"/>
      <c r="Q33" s="169"/>
      <c r="R33" s="278" t="s">
        <v>717</v>
      </c>
      <c r="S33" s="140">
        <f>X33+Y33+Z33</f>
        <v>0</v>
      </c>
      <c r="T33" s="216">
        <f>'BS P&amp;L'!D83</f>
        <v>220</v>
      </c>
      <c r="U33" s="216">
        <f>'BS P&amp;L'!E83</f>
        <v>0</v>
      </c>
      <c r="V33" s="216">
        <f>'BS P&amp;L'!F83</f>
        <v>0</v>
      </c>
      <c r="W33" s="216">
        <f>'BS P&amp;L'!G83</f>
        <v>0</v>
      </c>
      <c r="X33" s="139">
        <f>IF(AND(U33&gt;T33,T33&lt;&gt;0),2,0)</f>
        <v>0</v>
      </c>
      <c r="Y33" s="139">
        <f>IF(AND(V33&gt;U33,U33&lt;&gt;0),3,0)</f>
        <v>0</v>
      </c>
      <c r="Z33" s="139">
        <f>IF(AND(W33&gt;V33,V33&lt;&gt;0),4,0)</f>
        <v>0</v>
      </c>
    </row>
    <row r="34" spans="1:26" x14ac:dyDescent="0.2">
      <c r="A34" s="1137"/>
      <c r="B34" s="213"/>
      <c r="C34" s="213"/>
      <c r="D34" s="217"/>
      <c r="F34" s="154"/>
      <c r="G34" s="157"/>
      <c r="H34" s="156" t="s">
        <v>708</v>
      </c>
      <c r="J34" s="212" t="s">
        <v>738</v>
      </c>
      <c r="K34" s="1"/>
      <c r="L34" s="145"/>
      <c r="N34" s="154"/>
      <c r="O34" s="157"/>
      <c r="P34" s="156" t="s">
        <v>708</v>
      </c>
      <c r="Q34" s="169"/>
      <c r="R34" s="278" t="s">
        <v>590</v>
      </c>
      <c r="S34" s="140">
        <f>X34+Y34+Z34</f>
        <v>0</v>
      </c>
      <c r="T34" s="216">
        <f>'BS P&amp;L'!D110</f>
        <v>340</v>
      </c>
      <c r="U34" s="216">
        <f>'BS P&amp;L'!E110</f>
        <v>0</v>
      </c>
      <c r="V34" s="216">
        <f>'BS P&amp;L'!F110</f>
        <v>0</v>
      </c>
      <c r="W34" s="216">
        <f>'BS P&amp;L'!G110</f>
        <v>0</v>
      </c>
      <c r="X34" s="139">
        <f>IF(AND(U34&gt;T34,T34&lt;&gt;0),2,0)</f>
        <v>0</v>
      </c>
      <c r="Y34" s="139">
        <f>IF(AND(V34&gt;U34,U34&lt;&gt;0),3,0)</f>
        <v>0</v>
      </c>
      <c r="Z34" s="139">
        <f>IF(AND(W34&gt;V34,V34&lt;&gt;0),4,0)</f>
        <v>0</v>
      </c>
    </row>
    <row r="35" spans="1:26" x14ac:dyDescent="0.2">
      <c r="A35" s="212" t="s">
        <v>736</v>
      </c>
      <c r="B35" s="213"/>
      <c r="C35" s="213"/>
      <c r="D35" s="217" t="s">
        <v>708</v>
      </c>
      <c r="F35" s="144"/>
      <c r="G35" s="1"/>
      <c r="H35" s="151"/>
      <c r="J35" s="144"/>
      <c r="K35" s="1"/>
      <c r="L35" s="145"/>
      <c r="N35" s="144"/>
      <c r="O35" s="1"/>
      <c r="P35" s="151"/>
      <c r="Q35" s="169"/>
      <c r="R35" s="203" t="s">
        <v>11</v>
      </c>
      <c r="S35" s="218">
        <f>SUM(S33:S34)</f>
        <v>0</v>
      </c>
      <c r="T35" s="219"/>
      <c r="U35" s="219"/>
      <c r="V35" s="219"/>
      <c r="W35" s="219"/>
      <c r="X35" s="1"/>
      <c r="Y35" s="1"/>
      <c r="Z35" s="1"/>
    </row>
    <row r="36" spans="1:26" x14ac:dyDescent="0.2">
      <c r="A36" s="212"/>
      <c r="B36" s="213"/>
      <c r="C36" s="213"/>
      <c r="D36" s="217"/>
      <c r="F36" s="798" t="s">
        <v>710</v>
      </c>
      <c r="G36" s="221" t="s">
        <v>186</v>
      </c>
      <c r="H36" s="222">
        <v>-5</v>
      </c>
      <c r="J36" s="144"/>
      <c r="K36" s="139"/>
      <c r="L36" s="153" t="s">
        <v>708</v>
      </c>
      <c r="N36" s="798" t="s">
        <v>739</v>
      </c>
      <c r="O36" s="221" t="s">
        <v>186</v>
      </c>
      <c r="P36" s="222">
        <v>-10</v>
      </c>
      <c r="Q36" s="169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customHeight="1" x14ac:dyDescent="0.2">
      <c r="A37" s="1141" t="s">
        <v>724</v>
      </c>
      <c r="B37" s="821" t="s">
        <v>725</v>
      </c>
      <c r="C37" s="825" t="s">
        <v>726</v>
      </c>
      <c r="D37" s="821">
        <v>10</v>
      </c>
      <c r="F37" s="220"/>
      <c r="G37" s="221"/>
      <c r="H37" s="222"/>
      <c r="J37" s="144" t="s">
        <v>16</v>
      </c>
      <c r="K37" s="140" t="s">
        <v>186</v>
      </c>
      <c r="L37" s="153">
        <v>6</v>
      </c>
      <c r="N37" s="220" t="s">
        <v>740</v>
      </c>
      <c r="O37" s="221" t="s">
        <v>187</v>
      </c>
      <c r="P37" s="222">
        <v>-5</v>
      </c>
      <c r="Q37" s="169"/>
      <c r="R37" s="1"/>
      <c r="S37" s="139"/>
      <c r="T37" s="139"/>
      <c r="U37" s="139"/>
      <c r="V37" s="139"/>
      <c r="W37" s="139"/>
      <c r="X37" s="224"/>
      <c r="Y37" s="1"/>
      <c r="Z37" s="1"/>
    </row>
    <row r="38" spans="1:26" x14ac:dyDescent="0.2">
      <c r="A38" s="1142"/>
      <c r="B38" s="822" t="s">
        <v>725</v>
      </c>
      <c r="C38" s="826" t="s">
        <v>727</v>
      </c>
      <c r="D38" s="822">
        <v>8.5</v>
      </c>
      <c r="F38" s="798" t="s">
        <v>711</v>
      </c>
      <c r="G38" s="221" t="s">
        <v>187</v>
      </c>
      <c r="H38" s="222">
        <v>0</v>
      </c>
      <c r="J38" s="144" t="s">
        <v>17</v>
      </c>
      <c r="K38" s="140" t="s">
        <v>187</v>
      </c>
      <c r="L38" s="153">
        <v>3</v>
      </c>
      <c r="N38" s="220" t="s">
        <v>741</v>
      </c>
      <c r="O38" s="221" t="s">
        <v>188</v>
      </c>
      <c r="P38" s="222">
        <v>0</v>
      </c>
      <c r="Q38" s="169"/>
      <c r="R38" s="1"/>
      <c r="S38" s="1" t="s">
        <v>23</v>
      </c>
      <c r="T38" s="1"/>
      <c r="U38" s="1"/>
      <c r="V38" s="1"/>
      <c r="W38" s="1"/>
      <c r="X38" s="1"/>
      <c r="Y38" s="1"/>
      <c r="Z38" s="1"/>
    </row>
    <row r="39" spans="1:26" ht="12.75" customHeight="1" x14ac:dyDescent="0.2">
      <c r="A39" s="1143"/>
      <c r="B39" s="823" t="s">
        <v>725</v>
      </c>
      <c r="C39" s="827" t="s">
        <v>728</v>
      </c>
      <c r="D39" s="823">
        <v>7</v>
      </c>
      <c r="F39" s="220"/>
      <c r="G39" s="221"/>
      <c r="H39" s="222"/>
      <c r="J39" s="144" t="s">
        <v>18</v>
      </c>
      <c r="K39" s="140" t="s">
        <v>188</v>
      </c>
      <c r="L39" s="153">
        <v>-3</v>
      </c>
      <c r="N39" s="220" t="s">
        <v>742</v>
      </c>
      <c r="O39" s="221" t="s">
        <v>189</v>
      </c>
      <c r="P39" s="222">
        <v>5</v>
      </c>
      <c r="Q39" s="169"/>
      <c r="R39" s="1"/>
      <c r="S39" s="1" t="s">
        <v>24</v>
      </c>
      <c r="T39" s="1"/>
      <c r="U39" s="1"/>
      <c r="V39" s="1"/>
      <c r="W39" s="1"/>
      <c r="X39" s="1"/>
      <c r="Y39" s="1"/>
      <c r="Z39" s="1"/>
    </row>
    <row r="40" spans="1:26" x14ac:dyDescent="0.2">
      <c r="A40" s="819"/>
      <c r="B40" s="824"/>
      <c r="C40" s="824"/>
      <c r="D40" s="824" t="s">
        <v>251</v>
      </c>
      <c r="F40" s="798" t="s">
        <v>712</v>
      </c>
      <c r="G40" s="221" t="s">
        <v>188</v>
      </c>
      <c r="H40" s="222">
        <v>7</v>
      </c>
      <c r="J40" s="144" t="s">
        <v>19</v>
      </c>
      <c r="K40" s="140" t="s">
        <v>189</v>
      </c>
      <c r="L40" s="153">
        <v>-6</v>
      </c>
      <c r="N40" s="220" t="s">
        <v>743</v>
      </c>
      <c r="O40" s="221" t="s">
        <v>190</v>
      </c>
      <c r="P40" s="222">
        <v>10</v>
      </c>
      <c r="Q40" s="161"/>
      <c r="R40" s="1"/>
      <c r="S40" s="1" t="s">
        <v>261</v>
      </c>
      <c r="T40" s="1"/>
      <c r="U40" s="1"/>
      <c r="V40" s="1"/>
      <c r="W40" s="1"/>
      <c r="X40" s="1"/>
      <c r="Y40" s="1"/>
      <c r="Z40" s="1"/>
    </row>
    <row r="41" spans="1:26" ht="13.5" customHeight="1" x14ac:dyDescent="0.2">
      <c r="A41" s="1141" t="s">
        <v>729</v>
      </c>
      <c r="B41" s="821" t="s">
        <v>730</v>
      </c>
      <c r="C41" s="825" t="s">
        <v>726</v>
      </c>
      <c r="D41" s="821">
        <v>5</v>
      </c>
      <c r="F41" s="220"/>
      <c r="G41" s="221"/>
      <c r="H41" s="222"/>
      <c r="J41" s="154"/>
      <c r="K41" s="157"/>
      <c r="L41" s="203"/>
      <c r="N41" s="220" t="s">
        <v>744</v>
      </c>
      <c r="O41" s="221" t="s">
        <v>191</v>
      </c>
      <c r="P41" s="222">
        <v>15</v>
      </c>
      <c r="Q41" s="169"/>
      <c r="R41" s="1"/>
      <c r="S41" s="1" t="s">
        <v>262</v>
      </c>
      <c r="T41" s="1"/>
      <c r="U41" s="1"/>
      <c r="V41" s="1"/>
      <c r="W41" s="1"/>
      <c r="X41" s="1"/>
      <c r="Y41" s="1"/>
      <c r="Z41" s="1"/>
    </row>
    <row r="42" spans="1:26" x14ac:dyDescent="0.2">
      <c r="A42" s="1142"/>
      <c r="B42" s="822" t="s">
        <v>730</v>
      </c>
      <c r="C42" s="826" t="s">
        <v>727</v>
      </c>
      <c r="D42" s="822">
        <v>3</v>
      </c>
      <c r="F42" s="798" t="s">
        <v>713</v>
      </c>
      <c r="G42" s="221" t="s">
        <v>189</v>
      </c>
      <c r="H42" s="222">
        <v>10</v>
      </c>
      <c r="J42" s="207" t="s">
        <v>709</v>
      </c>
      <c r="K42" s="208"/>
      <c r="L42" s="209" t="b">
        <f>IF(L32="A",6,IF(L32="B",3,IF(L32="C",-3,IF(L32="D",-6))))</f>
        <v>0</v>
      </c>
      <c r="N42" s="220"/>
      <c r="O42" s="221"/>
      <c r="P42" s="222"/>
      <c r="R42" s="1"/>
      <c r="S42" s="1" t="s">
        <v>263</v>
      </c>
      <c r="T42" s="1"/>
      <c r="U42" s="1"/>
      <c r="V42" s="1"/>
      <c r="W42" s="1"/>
      <c r="X42" s="1"/>
      <c r="Y42" s="1"/>
      <c r="Z42" s="1"/>
    </row>
    <row r="43" spans="1:26" ht="12.75" customHeight="1" x14ac:dyDescent="0.2">
      <c r="A43" s="1143"/>
      <c r="B43" s="823" t="s">
        <v>730</v>
      </c>
      <c r="C43" s="827" t="s">
        <v>728</v>
      </c>
      <c r="D43" s="823">
        <v>1</v>
      </c>
      <c r="F43" s="220"/>
      <c r="G43" s="221"/>
      <c r="H43" s="222"/>
      <c r="J43" s="228"/>
      <c r="K43" s="1"/>
      <c r="L43" s="1"/>
      <c r="N43" s="227" t="s">
        <v>192</v>
      </c>
      <c r="O43" s="228"/>
      <c r="P43" s="229" t="e">
        <f>VLOOKUP(P32,O36:P44,2,FALSE)</f>
        <v>#N/A</v>
      </c>
      <c r="Q43" s="170"/>
      <c r="R43" s="170"/>
    </row>
    <row r="44" spans="1:26" ht="11.25" customHeight="1" x14ac:dyDescent="0.2">
      <c r="A44" s="819"/>
      <c r="B44" s="824"/>
      <c r="C44" s="828"/>
      <c r="D44" s="824" t="s">
        <v>251</v>
      </c>
      <c r="F44" s="798" t="s">
        <v>714</v>
      </c>
      <c r="G44" s="221" t="s">
        <v>190</v>
      </c>
      <c r="H44" s="222">
        <v>15</v>
      </c>
      <c r="J44" s="230" t="s">
        <v>20</v>
      </c>
      <c r="K44" s="191"/>
      <c r="L44" s="231"/>
      <c r="N44" s="171"/>
      <c r="O44" s="172"/>
      <c r="P44" s="173"/>
      <c r="Q44" s="170"/>
      <c r="R44" s="170"/>
    </row>
    <row r="45" spans="1:26" ht="11.25" customHeight="1" x14ac:dyDescent="0.2">
      <c r="A45" s="1141" t="s">
        <v>731</v>
      </c>
      <c r="B45" s="1116" t="s">
        <v>727</v>
      </c>
      <c r="C45" s="1118"/>
      <c r="D45" s="1116">
        <v>0</v>
      </c>
      <c r="F45" s="154"/>
      <c r="G45" s="157"/>
      <c r="H45" s="232"/>
      <c r="J45" s="144" t="s">
        <v>21</v>
      </c>
      <c r="K45" s="1"/>
      <c r="L45" s="145"/>
      <c r="M45" s="160"/>
      <c r="P45" s="174"/>
      <c r="Q45" s="170"/>
      <c r="R45" s="170"/>
    </row>
    <row r="46" spans="1:26" x14ac:dyDescent="0.2">
      <c r="A46" s="1142"/>
      <c r="B46" s="1117"/>
      <c r="C46" s="1119"/>
      <c r="D46" s="1117"/>
      <c r="F46" s="227" t="s">
        <v>192</v>
      </c>
      <c r="G46" s="228"/>
      <c r="H46" s="229" t="e">
        <f>VLOOKUP(H32,G36:H44,2,FALSE)</f>
        <v>#N/A</v>
      </c>
      <c r="J46" s="144"/>
      <c r="K46" s="1"/>
      <c r="L46" s="145"/>
      <c r="M46" s="162"/>
    </row>
    <row r="47" spans="1:26" x14ac:dyDescent="0.2">
      <c r="A47" s="1142"/>
      <c r="B47" s="822" t="s">
        <v>727</v>
      </c>
      <c r="C47" s="822"/>
      <c r="D47" s="822">
        <v>0</v>
      </c>
      <c r="H47" s="169"/>
      <c r="J47" s="1109"/>
      <c r="K47" s="1110"/>
      <c r="L47" s="1111"/>
      <c r="M47" s="162"/>
    </row>
    <row r="48" spans="1:26" x14ac:dyDescent="0.2">
      <c r="A48" s="1142"/>
      <c r="B48" s="822" t="s">
        <v>727</v>
      </c>
      <c r="C48" s="822"/>
      <c r="D48" s="822">
        <v>0</v>
      </c>
      <c r="G48" s="169"/>
      <c r="H48" s="169"/>
      <c r="J48" s="1112"/>
      <c r="K48" s="1110"/>
      <c r="L48" s="1111"/>
      <c r="M48" s="162"/>
    </row>
    <row r="49" spans="1:18" x14ac:dyDescent="0.2">
      <c r="A49" s="1143"/>
      <c r="B49" s="823"/>
      <c r="C49" s="823"/>
      <c r="D49" s="823" t="s">
        <v>251</v>
      </c>
      <c r="G49" s="169"/>
      <c r="H49" s="169"/>
      <c r="J49" s="1112"/>
      <c r="K49" s="1110"/>
      <c r="L49" s="1111"/>
      <c r="M49" s="162"/>
    </row>
    <row r="50" spans="1:18" x14ac:dyDescent="0.2">
      <c r="A50" s="819"/>
      <c r="B50" s="824"/>
      <c r="C50" s="824"/>
      <c r="D50" s="824" t="s">
        <v>251</v>
      </c>
      <c r="G50" s="169"/>
      <c r="H50" s="169"/>
      <c r="J50" s="1112"/>
      <c r="K50" s="1110"/>
      <c r="L50" s="1111"/>
      <c r="M50" s="162"/>
    </row>
    <row r="51" spans="1:18" ht="11.25" customHeight="1" x14ac:dyDescent="0.2">
      <c r="A51" s="1141" t="s">
        <v>732</v>
      </c>
      <c r="B51" s="821" t="s">
        <v>733</v>
      </c>
      <c r="C51" s="825" t="s">
        <v>726</v>
      </c>
      <c r="D51" s="821">
        <v>-1</v>
      </c>
      <c r="G51" s="169"/>
      <c r="H51" s="169"/>
      <c r="J51" s="1113"/>
      <c r="K51" s="1114"/>
      <c r="L51" s="1115"/>
      <c r="M51" s="162"/>
    </row>
    <row r="52" spans="1:18" x14ac:dyDescent="0.2">
      <c r="A52" s="1142"/>
      <c r="B52" s="822" t="s">
        <v>733</v>
      </c>
      <c r="C52" s="826" t="s">
        <v>727</v>
      </c>
      <c r="D52" s="822">
        <v>-3</v>
      </c>
      <c r="H52" s="174"/>
    </row>
    <row r="53" spans="1:18" x14ac:dyDescent="0.2">
      <c r="A53" s="1143"/>
      <c r="B53" s="823" t="s">
        <v>733</v>
      </c>
      <c r="C53" s="827" t="s">
        <v>728</v>
      </c>
      <c r="D53" s="823">
        <v>-5</v>
      </c>
    </row>
    <row r="54" spans="1:18" x14ac:dyDescent="0.2">
      <c r="A54" s="820"/>
      <c r="B54" s="824"/>
      <c r="C54" s="828"/>
      <c r="D54" s="824"/>
      <c r="F54" s="160"/>
      <c r="H54" s="175"/>
    </row>
    <row r="55" spans="1:18" ht="17.25" customHeight="1" x14ac:dyDescent="0.2">
      <c r="A55" s="1141" t="s">
        <v>735</v>
      </c>
      <c r="B55" s="821" t="s">
        <v>734</v>
      </c>
      <c r="C55" s="825"/>
      <c r="D55" s="821">
        <v>-10</v>
      </c>
    </row>
    <row r="56" spans="1:18" x14ac:dyDescent="0.2">
      <c r="A56" s="1142"/>
      <c r="B56" s="822" t="s">
        <v>734</v>
      </c>
      <c r="C56" s="826"/>
      <c r="D56" s="822">
        <v>-10</v>
      </c>
    </row>
    <row r="57" spans="1:18" ht="12" customHeight="1" x14ac:dyDescent="0.2">
      <c r="A57" s="1143"/>
      <c r="B57" s="823" t="s">
        <v>734</v>
      </c>
      <c r="C57" s="827"/>
      <c r="D57" s="823">
        <v>-10</v>
      </c>
      <c r="F57" s="176"/>
      <c r="G57" s="176"/>
      <c r="H57" s="176"/>
    </row>
    <row r="58" spans="1:18" x14ac:dyDescent="0.2">
      <c r="A58" s="4"/>
      <c r="B58" s="802" t="s">
        <v>708</v>
      </c>
      <c r="C58" s="134"/>
      <c r="D58" s="134">
        <f>D32</f>
        <v>0</v>
      </c>
    </row>
    <row r="59" spans="1:18" x14ac:dyDescent="0.2">
      <c r="A59" s="177"/>
      <c r="B59" s="178"/>
      <c r="C59" s="179"/>
      <c r="D59" s="180"/>
      <c r="F59" s="181"/>
      <c r="G59" s="160"/>
      <c r="H59" s="182"/>
    </row>
    <row r="60" spans="1:18" ht="13.5" thickBot="1" x14ac:dyDescent="0.25">
      <c r="A60" s="133"/>
      <c r="B60" s="133"/>
      <c r="C60" s="183"/>
      <c r="D60" s="133"/>
      <c r="F60" s="181"/>
      <c r="H60" s="182"/>
      <c r="I60" s="168"/>
      <c r="J60" s="184"/>
      <c r="K60" s="184"/>
      <c r="L60" s="184"/>
      <c r="M60" s="184"/>
    </row>
    <row r="61" spans="1:18" ht="12.75" customHeight="1" thickBot="1" x14ac:dyDescent="0.25">
      <c r="A61" s="807" t="s">
        <v>722</v>
      </c>
      <c r="B61" s="1120" t="s">
        <v>715</v>
      </c>
      <c r="C61" s="1121"/>
      <c r="D61" s="795"/>
      <c r="F61" s="185"/>
      <c r="H61" s="169"/>
      <c r="I61" s="184"/>
      <c r="J61" s="184"/>
      <c r="K61" s="184"/>
      <c r="L61" s="184"/>
      <c r="M61" s="184"/>
      <c r="N61" s="234" t="s">
        <v>708</v>
      </c>
      <c r="O61" s="802" t="s">
        <v>762</v>
      </c>
    </row>
    <row r="62" spans="1:18" ht="12.75" x14ac:dyDescent="0.2">
      <c r="A62" s="212" t="s">
        <v>255</v>
      </c>
      <c r="B62" s="213"/>
      <c r="C62" s="213"/>
      <c r="D62" s="214"/>
      <c r="H62" s="169"/>
      <c r="I62" s="184"/>
      <c r="J62" s="184"/>
      <c r="K62" s="184"/>
      <c r="L62" s="184"/>
      <c r="M62" s="184"/>
      <c r="N62" s="1" t="str">
        <f>A14</f>
        <v>1.  PATRIMONIO LÍQUIDO</v>
      </c>
      <c r="O62" s="139">
        <f>D30</f>
        <v>0</v>
      </c>
      <c r="P62" s="159">
        <v>70</v>
      </c>
      <c r="Q62" s="159">
        <f>O62-P62</f>
        <v>-70</v>
      </c>
      <c r="R62" s="159">
        <v>70</v>
      </c>
    </row>
    <row r="63" spans="1:18" ht="12.75" x14ac:dyDescent="0.2">
      <c r="A63" s="212"/>
      <c r="B63" s="213"/>
      <c r="C63" s="213"/>
      <c r="D63" s="235"/>
      <c r="F63" s="163"/>
      <c r="G63" s="169"/>
      <c r="H63" s="169"/>
      <c r="I63" s="184"/>
      <c r="J63" s="184"/>
      <c r="K63" s="184"/>
      <c r="L63" s="184"/>
      <c r="M63" s="184"/>
      <c r="N63" s="1" t="str">
        <f>F14</f>
        <v>2.  LIQUIDEZ</v>
      </c>
      <c r="O63" s="139">
        <f>H30</f>
        <v>15</v>
      </c>
      <c r="P63" s="159">
        <v>60</v>
      </c>
      <c r="Q63" s="159">
        <f t="shared" ref="Q63:Q71" si="0">O63-P63</f>
        <v>-45</v>
      </c>
      <c r="R63" s="159">
        <v>60</v>
      </c>
    </row>
    <row r="64" spans="1:18" ht="12.75" x14ac:dyDescent="0.2">
      <c r="A64" s="212" t="s">
        <v>246</v>
      </c>
      <c r="B64" s="213"/>
      <c r="C64" s="213"/>
      <c r="D64" s="217" t="s">
        <v>708</v>
      </c>
      <c r="G64" s="169"/>
      <c r="H64" s="169"/>
      <c r="I64" s="184"/>
      <c r="J64" s="184"/>
      <c r="K64" s="184"/>
      <c r="L64" s="184"/>
      <c r="M64" s="184"/>
      <c r="N64" s="1" t="str">
        <f>J14</f>
        <v>3.  RENTABILIDADE</v>
      </c>
      <c r="O64" s="139" t="e">
        <f>L30</f>
        <v>#DIV/0!</v>
      </c>
      <c r="P64" s="159">
        <v>34</v>
      </c>
      <c r="Q64" s="159" t="e">
        <f t="shared" si="0"/>
        <v>#DIV/0!</v>
      </c>
      <c r="R64" s="159">
        <v>34</v>
      </c>
    </row>
    <row r="65" spans="1:18" ht="12.75" customHeight="1" x14ac:dyDescent="0.2">
      <c r="A65" s="1133" t="s">
        <v>256</v>
      </c>
      <c r="B65" s="236" t="s">
        <v>247</v>
      </c>
      <c r="C65" s="237" t="s">
        <v>248</v>
      </c>
      <c r="D65" s="236">
        <v>10</v>
      </c>
      <c r="G65" s="169"/>
      <c r="H65" s="169"/>
      <c r="I65" s="184"/>
      <c r="J65" s="184"/>
      <c r="K65" s="184"/>
      <c r="L65" s="184"/>
      <c r="M65" s="184"/>
      <c r="N65" s="1" t="str">
        <f>N14</f>
        <v>4.  ALAVANCAGEM</v>
      </c>
      <c r="O65" s="139">
        <f>O30</f>
        <v>50</v>
      </c>
      <c r="P65" s="159">
        <v>75</v>
      </c>
      <c r="Q65" s="159">
        <f t="shared" si="0"/>
        <v>-25</v>
      </c>
      <c r="R65" s="159">
        <v>75</v>
      </c>
    </row>
    <row r="66" spans="1:18" x14ac:dyDescent="0.2">
      <c r="A66" s="1134"/>
      <c r="B66" s="238" t="s">
        <v>247</v>
      </c>
      <c r="C66" s="239" t="s">
        <v>249</v>
      </c>
      <c r="D66" s="238">
        <v>8.5</v>
      </c>
      <c r="F66" s="163"/>
      <c r="G66" s="169"/>
      <c r="H66" s="169"/>
      <c r="N66" s="1" t="str">
        <f>R14</f>
        <v>5.  TENDÊNCIA 3 ANOS</v>
      </c>
      <c r="O66" s="139">
        <v>0</v>
      </c>
      <c r="P66" s="159">
        <v>10</v>
      </c>
      <c r="Q66" s="159">
        <f t="shared" si="0"/>
        <v>-10</v>
      </c>
      <c r="R66" s="159">
        <v>10</v>
      </c>
    </row>
    <row r="67" spans="1:18" x14ac:dyDescent="0.2">
      <c r="A67" s="1135"/>
      <c r="B67" s="240" t="s">
        <v>247</v>
      </c>
      <c r="C67" s="241" t="s">
        <v>250</v>
      </c>
      <c r="D67" s="240">
        <v>7</v>
      </c>
      <c r="G67" s="169"/>
      <c r="H67" s="169"/>
      <c r="N67" s="1" t="str">
        <f>A32</f>
        <v>6. RELATÓRIO FINANCEIRO</v>
      </c>
      <c r="O67" s="139">
        <f>D58</f>
        <v>0</v>
      </c>
      <c r="P67" s="159">
        <v>10</v>
      </c>
      <c r="Q67" s="159">
        <f t="shared" si="0"/>
        <v>-10</v>
      </c>
      <c r="R67" s="159">
        <v>10</v>
      </c>
    </row>
    <row r="68" spans="1:18" x14ac:dyDescent="0.2">
      <c r="A68" s="212"/>
      <c r="B68" s="238"/>
      <c r="C68" s="238"/>
      <c r="D68" s="238" t="s">
        <v>251</v>
      </c>
      <c r="G68" s="169"/>
      <c r="H68" s="169"/>
      <c r="N68" s="1" t="str">
        <f>F32</f>
        <v>7. CLIME HISTÓRICO C/P</v>
      </c>
      <c r="O68" s="139" t="e">
        <f>H46</f>
        <v>#N/A</v>
      </c>
      <c r="P68" s="159">
        <v>15</v>
      </c>
      <c r="Q68" s="159" t="e">
        <f t="shared" si="0"/>
        <v>#N/A</v>
      </c>
      <c r="R68" s="159">
        <v>15</v>
      </c>
    </row>
    <row r="69" spans="1:18" ht="11.25" customHeight="1" x14ac:dyDescent="0.2">
      <c r="A69" s="1133" t="s">
        <v>257</v>
      </c>
      <c r="B69" s="236" t="s">
        <v>252</v>
      </c>
      <c r="C69" s="237" t="s">
        <v>248</v>
      </c>
      <c r="D69" s="236">
        <v>5</v>
      </c>
      <c r="F69" s="186"/>
      <c r="G69" s="187"/>
      <c r="H69" s="161"/>
      <c r="N69" s="1" t="str">
        <f>J32</f>
        <v>8. BENCHMARKING</v>
      </c>
      <c r="O69" s="139" t="b">
        <f>L42</f>
        <v>0</v>
      </c>
      <c r="P69" s="159">
        <v>6</v>
      </c>
      <c r="Q69" s="159">
        <f t="shared" si="0"/>
        <v>-6</v>
      </c>
      <c r="R69" s="159">
        <v>6</v>
      </c>
    </row>
    <row r="70" spans="1:18" x14ac:dyDescent="0.2">
      <c r="A70" s="1134"/>
      <c r="B70" s="238" t="s">
        <v>252</v>
      </c>
      <c r="C70" s="239" t="s">
        <v>249</v>
      </c>
      <c r="D70" s="238">
        <v>3</v>
      </c>
      <c r="N70" s="1" t="str">
        <f>N32</f>
        <v>9. TEMPO MERCADO C/P</v>
      </c>
      <c r="O70" s="139" t="e">
        <f>P43</f>
        <v>#N/A</v>
      </c>
      <c r="P70" s="159">
        <v>15</v>
      </c>
      <c r="Q70" s="159" t="e">
        <f t="shared" si="0"/>
        <v>#N/A</v>
      </c>
      <c r="R70" s="159">
        <v>15</v>
      </c>
    </row>
    <row r="71" spans="1:18" x14ac:dyDescent="0.2">
      <c r="A71" s="1135"/>
      <c r="B71" s="240" t="s">
        <v>252</v>
      </c>
      <c r="C71" s="241" t="s">
        <v>250</v>
      </c>
      <c r="D71" s="240">
        <v>1</v>
      </c>
      <c r="N71" s="1" t="str">
        <f>A61</f>
        <v>10.  CAPACIDADE ADMINISTRADORES</v>
      </c>
      <c r="O71" s="139">
        <f>D84</f>
        <v>0</v>
      </c>
      <c r="P71" s="159">
        <v>10</v>
      </c>
      <c r="Q71" s="159">
        <f t="shared" si="0"/>
        <v>-10</v>
      </c>
      <c r="R71" s="159">
        <v>10</v>
      </c>
    </row>
    <row r="72" spans="1:18" x14ac:dyDescent="0.2">
      <c r="A72" s="212"/>
      <c r="B72" s="238"/>
      <c r="C72" s="239"/>
      <c r="D72" s="238" t="s">
        <v>251</v>
      </c>
      <c r="F72" s="161"/>
      <c r="N72" s="1"/>
      <c r="O72" s="139"/>
    </row>
    <row r="73" spans="1:18" ht="11.25" customHeight="1" x14ac:dyDescent="0.2">
      <c r="A73" s="1136" t="s">
        <v>258</v>
      </c>
      <c r="B73" s="236" t="s">
        <v>249</v>
      </c>
      <c r="C73" s="236"/>
      <c r="D73" s="236">
        <v>0</v>
      </c>
      <c r="F73" s="183"/>
      <c r="N73" s="242" t="s">
        <v>194</v>
      </c>
      <c r="O73" s="137" t="e">
        <f>SUM(O62:O72)</f>
        <v>#DIV/0!</v>
      </c>
      <c r="P73" s="137">
        <f>SUM(P62:P72)</f>
        <v>305</v>
      </c>
      <c r="Q73" s="137" t="e">
        <f>SUM(Q62:Q72)</f>
        <v>#DIV/0!</v>
      </c>
      <c r="R73" s="137">
        <f>SUM(R62:R72)</f>
        <v>305</v>
      </c>
    </row>
    <row r="74" spans="1:18" x14ac:dyDescent="0.2">
      <c r="A74" s="1137"/>
      <c r="B74" s="238" t="s">
        <v>249</v>
      </c>
      <c r="C74" s="238"/>
      <c r="D74" s="238">
        <v>0</v>
      </c>
      <c r="F74" s="183"/>
      <c r="N74" s="1"/>
      <c r="O74" s="1"/>
    </row>
    <row r="75" spans="1:18" x14ac:dyDescent="0.2">
      <c r="A75" s="1138"/>
      <c r="B75" s="240" t="s">
        <v>249</v>
      </c>
      <c r="C75" s="240"/>
      <c r="D75" s="240">
        <v>0</v>
      </c>
      <c r="F75" s="183"/>
    </row>
    <row r="76" spans="1:18" x14ac:dyDescent="0.2">
      <c r="A76" s="243"/>
      <c r="B76" s="238"/>
      <c r="C76" s="238"/>
      <c r="D76" s="238"/>
      <c r="F76" s="183"/>
    </row>
    <row r="77" spans="1:18" x14ac:dyDescent="0.2">
      <c r="A77" s="1133" t="s">
        <v>259</v>
      </c>
      <c r="B77" s="236" t="s">
        <v>253</v>
      </c>
      <c r="C77" s="237" t="s">
        <v>248</v>
      </c>
      <c r="D77" s="236">
        <v>-1</v>
      </c>
      <c r="F77" s="183"/>
    </row>
    <row r="78" spans="1:18" x14ac:dyDescent="0.2">
      <c r="A78" s="1134"/>
      <c r="B78" s="238" t="s">
        <v>253</v>
      </c>
      <c r="C78" s="239" t="s">
        <v>249</v>
      </c>
      <c r="D78" s="238">
        <v>-3</v>
      </c>
      <c r="F78" s="183"/>
    </row>
    <row r="79" spans="1:18" x14ac:dyDescent="0.2">
      <c r="A79" s="1135"/>
      <c r="B79" s="240" t="s">
        <v>253</v>
      </c>
      <c r="C79" s="241" t="s">
        <v>250</v>
      </c>
      <c r="D79" s="240">
        <v>-5</v>
      </c>
      <c r="F79" s="183"/>
    </row>
    <row r="80" spans="1:18" x14ac:dyDescent="0.2">
      <c r="A80" s="212" t="s">
        <v>251</v>
      </c>
      <c r="B80" s="238"/>
      <c r="C80" s="239"/>
      <c r="D80" s="238"/>
      <c r="F80" s="183"/>
    </row>
    <row r="81" spans="1:6" x14ac:dyDescent="0.2">
      <c r="A81" s="1133" t="s">
        <v>260</v>
      </c>
      <c r="B81" s="236" t="s">
        <v>254</v>
      </c>
      <c r="C81" s="236"/>
      <c r="D81" s="236">
        <v>-10</v>
      </c>
      <c r="F81" s="183"/>
    </row>
    <row r="82" spans="1:6" x14ac:dyDescent="0.2">
      <c r="A82" s="1134"/>
      <c r="B82" s="238" t="s">
        <v>254</v>
      </c>
      <c r="C82" s="238"/>
      <c r="D82" s="238">
        <v>-10</v>
      </c>
      <c r="F82" s="183"/>
    </row>
    <row r="83" spans="1:6" x14ac:dyDescent="0.2">
      <c r="A83" s="1135"/>
      <c r="B83" s="240" t="s">
        <v>254</v>
      </c>
      <c r="C83" s="240"/>
      <c r="D83" s="240">
        <v>-10</v>
      </c>
      <c r="F83" s="183"/>
    </row>
    <row r="84" spans="1:6" x14ac:dyDescent="0.2">
      <c r="A84" s="233"/>
      <c r="B84" s="244" t="s">
        <v>709</v>
      </c>
      <c r="C84" s="223"/>
      <c r="D84" s="245">
        <f>D61</f>
        <v>0</v>
      </c>
      <c r="F84" s="161"/>
    </row>
  </sheetData>
  <sheetProtection selectLockedCells="1"/>
  <mergeCells count="25">
    <mergeCell ref="A81:A83"/>
    <mergeCell ref="A65:A67"/>
    <mergeCell ref="A69:A71"/>
    <mergeCell ref="A73:A75"/>
    <mergeCell ref="C33:D33"/>
    <mergeCell ref="A37:A39"/>
    <mergeCell ref="A41:A43"/>
    <mergeCell ref="A45:A49"/>
    <mergeCell ref="B45:B46"/>
    <mergeCell ref="A51:A53"/>
    <mergeCell ref="B61:C61"/>
    <mergeCell ref="A33:A34"/>
    <mergeCell ref="A55:A57"/>
    <mergeCell ref="A77:A79"/>
    <mergeCell ref="A1:W1"/>
    <mergeCell ref="A2:W2"/>
    <mergeCell ref="C8:G8"/>
    <mergeCell ref="C6:G6"/>
    <mergeCell ref="C4:E4"/>
    <mergeCell ref="C10:E10"/>
    <mergeCell ref="N12:N13"/>
    <mergeCell ref="J47:L51"/>
    <mergeCell ref="D45:D46"/>
    <mergeCell ref="C45:C46"/>
    <mergeCell ref="B32:C32"/>
  </mergeCells>
  <phoneticPr fontId="0" type="noConversion"/>
  <printOptions horizontalCentered="1" verticalCentered="1"/>
  <pageMargins left="0" right="0" top="0" bottom="0" header="0" footer="0"/>
  <pageSetup scale="50" orientation="landscape" r:id="rId1"/>
  <headerFooter alignWithMargins="0"/>
  <ignoredErrors>
    <ignoredError sqref="O68" evalError="1"/>
    <ignoredError sqref="R21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Drop Down 13">
              <controlPr defaultSize="0" autoLine="0" autoPict="0">
                <anchor moveWithCells="1">
                  <from>
                    <xdr:col>1</xdr:col>
                    <xdr:colOff>1047750</xdr:colOff>
                    <xdr:row>11</xdr:row>
                    <xdr:rowOff>28575</xdr:rowOff>
                  </from>
                  <to>
                    <xdr:col>3</xdr:col>
                    <xdr:colOff>866775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43"/>
  <sheetViews>
    <sheetView zoomScale="85" zoomScaleNormal="85" zoomScaleSheetLayoutView="100" workbookViewId="0">
      <selection activeCell="A14" sqref="A14"/>
    </sheetView>
  </sheetViews>
  <sheetFormatPr defaultRowHeight="11.25" x14ac:dyDescent="0.2"/>
  <cols>
    <col min="1" max="1" width="20.85546875" style="1" bestFit="1" customWidth="1"/>
    <col min="2" max="2" width="11.5703125" style="1" customWidth="1"/>
    <col min="3" max="3" width="29.28515625" style="1" bestFit="1" customWidth="1"/>
    <col min="4" max="4" width="14.42578125" style="1" customWidth="1"/>
    <col min="5" max="5" width="18.5703125" style="1" customWidth="1"/>
    <col min="6" max="6" width="23.28515625" style="1" customWidth="1"/>
    <col min="7" max="7" width="21.42578125" style="1" customWidth="1"/>
    <col min="8" max="8" width="7" style="1" customWidth="1"/>
    <col min="9" max="9" width="6.42578125" style="1" customWidth="1"/>
    <col min="10" max="10" width="9.140625" style="1" customWidth="1"/>
    <col min="11" max="16384" width="9.140625" style="1"/>
  </cols>
  <sheetData>
    <row r="1" spans="1:15" ht="12" x14ac:dyDescent="0.2">
      <c r="C1" s="2" t="s">
        <v>139</v>
      </c>
      <c r="D1" s="1144">
        <f>'BS P&amp;L'!C2</f>
        <v>0</v>
      </c>
      <c r="E1" s="1145"/>
    </row>
    <row r="3" spans="1:15" x14ac:dyDescent="0.2">
      <c r="A3" s="829" t="s">
        <v>128</v>
      </c>
      <c r="B3" s="829" t="s">
        <v>114</v>
      </c>
      <c r="C3" s="830"/>
      <c r="D3" s="829" t="s">
        <v>115</v>
      </c>
      <c r="E3" s="829" t="s">
        <v>116</v>
      </c>
      <c r="F3" s="829" t="s">
        <v>129</v>
      </c>
      <c r="G3" s="831"/>
      <c r="H3" s="830"/>
      <c r="I3" s="830"/>
    </row>
    <row r="4" spans="1:15" x14ac:dyDescent="0.2">
      <c r="A4" s="829" t="s">
        <v>113</v>
      </c>
      <c r="B4" s="829" t="s">
        <v>117</v>
      </c>
      <c r="C4" s="829" t="s">
        <v>398</v>
      </c>
      <c r="D4" s="829" t="s">
        <v>118</v>
      </c>
      <c r="E4" s="829" t="s">
        <v>118</v>
      </c>
      <c r="F4" s="829" t="s">
        <v>130</v>
      </c>
      <c r="G4" s="829" t="s">
        <v>137</v>
      </c>
      <c r="H4" s="1146" t="s">
        <v>775</v>
      </c>
      <c r="I4" s="1146"/>
    </row>
    <row r="5" spans="1:15" x14ac:dyDescent="0.2">
      <c r="A5" s="830"/>
      <c r="B5" s="830"/>
      <c r="C5" s="830"/>
      <c r="D5" s="830"/>
      <c r="E5" s="830"/>
      <c r="F5" s="830"/>
      <c r="G5" s="830"/>
      <c r="H5" s="830"/>
      <c r="I5" s="830"/>
    </row>
    <row r="6" spans="1:15" x14ac:dyDescent="0.2">
      <c r="A6" s="252" t="s">
        <v>764</v>
      </c>
      <c r="B6" s="252">
        <v>1</v>
      </c>
      <c r="C6" s="791">
        <v>1E-3</v>
      </c>
      <c r="D6" s="252" t="s">
        <v>677</v>
      </c>
      <c r="E6" s="252" t="s">
        <v>678</v>
      </c>
      <c r="F6" s="252"/>
      <c r="G6" s="252"/>
      <c r="H6" s="253">
        <v>270</v>
      </c>
      <c r="I6" s="253">
        <v>305</v>
      </c>
      <c r="J6" s="1" t="e">
        <f>IF(AND($B$18&gt;=H6,$B$18&lt;=I6),B6,"")</f>
        <v>#DIV/0!</v>
      </c>
      <c r="K6" s="1">
        <f t="shared" ref="K6:K14" si="0">I6-H6</f>
        <v>35</v>
      </c>
      <c r="L6" s="1">
        <f t="shared" ref="L6:L15" si="1">I7+K6</f>
        <v>304</v>
      </c>
      <c r="M6" s="1">
        <v>21</v>
      </c>
      <c r="N6" s="1">
        <f t="shared" ref="N6:N14" si="2">L7+M6</f>
        <v>289</v>
      </c>
      <c r="O6" s="1">
        <v>290</v>
      </c>
    </row>
    <row r="7" spans="1:15" x14ac:dyDescent="0.2">
      <c r="A7" s="252" t="s">
        <v>765</v>
      </c>
      <c r="B7" s="252">
        <v>2</v>
      </c>
      <c r="C7" s="791">
        <v>1.5E-3</v>
      </c>
      <c r="D7" s="252" t="s">
        <v>679</v>
      </c>
      <c r="E7" s="252" t="s">
        <v>680</v>
      </c>
      <c r="F7" s="252" t="s">
        <v>681</v>
      </c>
      <c r="G7" s="252"/>
      <c r="H7" s="253">
        <v>235</v>
      </c>
      <c r="I7" s="253">
        <v>269</v>
      </c>
      <c r="J7" s="1" t="e">
        <f>IF(AND($B$18&gt;=H7,$B$18&lt;=I7),B7,"")</f>
        <v>#DIV/0!</v>
      </c>
      <c r="K7" s="1">
        <f t="shared" si="0"/>
        <v>34</v>
      </c>
      <c r="L7" s="1">
        <f t="shared" si="1"/>
        <v>268</v>
      </c>
      <c r="M7" s="1">
        <v>21</v>
      </c>
      <c r="N7" s="1">
        <f t="shared" si="2"/>
        <v>254</v>
      </c>
      <c r="O7" s="1">
        <v>250</v>
      </c>
    </row>
    <row r="8" spans="1:15" x14ac:dyDescent="0.2">
      <c r="A8" s="252" t="s">
        <v>766</v>
      </c>
      <c r="B8" s="252">
        <v>3</v>
      </c>
      <c r="C8" s="791">
        <v>2.5000000000000001E-3</v>
      </c>
      <c r="D8" s="252" t="s">
        <v>682</v>
      </c>
      <c r="E8" s="252" t="s">
        <v>683</v>
      </c>
      <c r="F8" s="252" t="s">
        <v>684</v>
      </c>
      <c r="G8" s="252"/>
      <c r="H8" s="253">
        <v>201</v>
      </c>
      <c r="I8" s="253">
        <v>234</v>
      </c>
      <c r="J8" s="1" t="e">
        <f>IF(AND($B$18&gt;=H8,$B$18&lt;=I8),B8,"")</f>
        <v>#DIV/0!</v>
      </c>
      <c r="K8" s="1">
        <f t="shared" si="0"/>
        <v>33</v>
      </c>
      <c r="L8" s="1">
        <f t="shared" si="1"/>
        <v>233</v>
      </c>
      <c r="M8" s="1">
        <v>21</v>
      </c>
      <c r="N8" s="1">
        <f t="shared" si="2"/>
        <v>220</v>
      </c>
      <c r="O8" s="1">
        <v>261</v>
      </c>
    </row>
    <row r="9" spans="1:15" x14ac:dyDescent="0.2">
      <c r="A9" s="252" t="s">
        <v>767</v>
      </c>
      <c r="B9" s="252">
        <v>4</v>
      </c>
      <c r="C9" s="791">
        <v>5.0000000000000001E-3</v>
      </c>
      <c r="D9" s="252" t="s">
        <v>685</v>
      </c>
      <c r="E9" s="252" t="s">
        <v>686</v>
      </c>
      <c r="F9" s="252" t="s">
        <v>687</v>
      </c>
      <c r="G9" s="252"/>
      <c r="H9" s="253">
        <v>172</v>
      </c>
      <c r="I9" s="253">
        <v>200</v>
      </c>
      <c r="J9" s="1" t="e">
        <f>IF(AND($B$18&gt;=H9,$B$18&lt;=I9),B9,"")</f>
        <v>#DIV/0!</v>
      </c>
      <c r="K9" s="1">
        <f t="shared" si="0"/>
        <v>28</v>
      </c>
      <c r="L9" s="1">
        <f t="shared" si="1"/>
        <v>199</v>
      </c>
      <c r="M9" s="1">
        <v>25</v>
      </c>
      <c r="N9" s="1">
        <f t="shared" si="2"/>
        <v>195</v>
      </c>
      <c r="O9" s="1">
        <v>240</v>
      </c>
    </row>
    <row r="10" spans="1:15" x14ac:dyDescent="0.2">
      <c r="A10" s="252" t="s">
        <v>768</v>
      </c>
      <c r="B10" s="135">
        <v>5</v>
      </c>
      <c r="C10" s="136">
        <v>0.01</v>
      </c>
      <c r="D10" s="135" t="s">
        <v>228</v>
      </c>
      <c r="E10" s="135" t="s">
        <v>119</v>
      </c>
      <c r="F10" s="135" t="s">
        <v>131</v>
      </c>
      <c r="G10" s="135"/>
      <c r="H10" s="253">
        <v>151</v>
      </c>
      <c r="I10" s="253">
        <v>171</v>
      </c>
      <c r="J10" s="1" t="e">
        <f>IF(AND($B$18&gt;=H10,$B$18&lt;=I10),B10,"")</f>
        <v>#DIV/0!</v>
      </c>
      <c r="K10" s="1">
        <f t="shared" si="0"/>
        <v>20</v>
      </c>
      <c r="L10" s="1">
        <f t="shared" si="1"/>
        <v>170</v>
      </c>
      <c r="M10" s="1">
        <v>30</v>
      </c>
      <c r="N10" s="1">
        <f t="shared" si="2"/>
        <v>179</v>
      </c>
      <c r="O10" s="1">
        <v>223</v>
      </c>
    </row>
    <row r="11" spans="1:15" x14ac:dyDescent="0.2">
      <c r="A11" s="252" t="s">
        <v>769</v>
      </c>
      <c r="B11" s="135">
        <v>6</v>
      </c>
      <c r="C11" s="136">
        <v>0.02</v>
      </c>
      <c r="D11" s="135" t="s">
        <v>120</v>
      </c>
      <c r="E11" s="135" t="s">
        <v>121</v>
      </c>
      <c r="F11" s="135" t="s">
        <v>132</v>
      </c>
      <c r="G11" s="135"/>
      <c r="H11" s="253">
        <v>135</v>
      </c>
      <c r="I11" s="253">
        <v>150</v>
      </c>
      <c r="J11" s="1" t="e">
        <f t="shared" ref="J11:J16" si="3">IF(AND($B$18&gt;=H11,$B$18&lt;=I11),B11,"")</f>
        <v>#DIV/0!</v>
      </c>
      <c r="K11" s="1">
        <f t="shared" si="0"/>
        <v>15</v>
      </c>
      <c r="L11" s="1">
        <f t="shared" si="1"/>
        <v>149</v>
      </c>
      <c r="M11" s="1">
        <v>35</v>
      </c>
      <c r="N11" s="1">
        <f t="shared" si="2"/>
        <v>168</v>
      </c>
      <c r="O11" s="1">
        <v>184</v>
      </c>
    </row>
    <row r="12" spans="1:15" x14ac:dyDescent="0.2">
      <c r="A12" s="252" t="s">
        <v>770</v>
      </c>
      <c r="B12" s="135">
        <v>7</v>
      </c>
      <c r="C12" s="136">
        <v>2.5000000000000001E-2</v>
      </c>
      <c r="D12" s="135" t="s">
        <v>122</v>
      </c>
      <c r="E12" s="135" t="s">
        <v>123</v>
      </c>
      <c r="F12" s="135" t="s">
        <v>133</v>
      </c>
      <c r="G12" s="135" t="s">
        <v>138</v>
      </c>
      <c r="H12" s="253">
        <v>119</v>
      </c>
      <c r="I12" s="253">
        <v>134</v>
      </c>
      <c r="J12" s="1" t="e">
        <f>IF(AND($B$18&gt;=H12,$B$18&lt;=I12),B12,"")</f>
        <v>#DIV/0!</v>
      </c>
      <c r="K12" s="1">
        <f t="shared" si="0"/>
        <v>15</v>
      </c>
      <c r="L12" s="1">
        <f t="shared" si="1"/>
        <v>133</v>
      </c>
      <c r="M12" s="1">
        <v>30</v>
      </c>
      <c r="N12" s="1">
        <f t="shared" si="2"/>
        <v>147</v>
      </c>
      <c r="O12" s="1">
        <v>133</v>
      </c>
    </row>
    <row r="13" spans="1:15" x14ac:dyDescent="0.2">
      <c r="A13" s="252" t="s">
        <v>771</v>
      </c>
      <c r="B13" s="135">
        <v>8</v>
      </c>
      <c r="C13" s="136">
        <v>0.04</v>
      </c>
      <c r="D13" s="135" t="s">
        <v>124</v>
      </c>
      <c r="E13" s="135" t="s">
        <v>125</v>
      </c>
      <c r="F13" s="135" t="s">
        <v>134</v>
      </c>
      <c r="G13" s="135" t="s">
        <v>138</v>
      </c>
      <c r="H13" s="253">
        <v>103</v>
      </c>
      <c r="I13" s="253">
        <v>118</v>
      </c>
      <c r="J13" s="1" t="e">
        <f t="shared" si="3"/>
        <v>#DIV/0!</v>
      </c>
      <c r="K13" s="1">
        <f t="shared" si="0"/>
        <v>15</v>
      </c>
      <c r="L13" s="1">
        <f t="shared" si="1"/>
        <v>117</v>
      </c>
      <c r="M13" s="1">
        <v>27</v>
      </c>
      <c r="N13" s="1">
        <f t="shared" si="2"/>
        <v>128</v>
      </c>
      <c r="O13" s="1">
        <v>90</v>
      </c>
    </row>
    <row r="14" spans="1:15" x14ac:dyDescent="0.2">
      <c r="A14" s="252" t="s">
        <v>772</v>
      </c>
      <c r="B14" s="135">
        <v>9</v>
      </c>
      <c r="C14" s="136">
        <v>0.08</v>
      </c>
      <c r="D14" s="135" t="s">
        <v>126</v>
      </c>
      <c r="E14" s="135" t="s">
        <v>127</v>
      </c>
      <c r="F14" s="135" t="s">
        <v>135</v>
      </c>
      <c r="G14" s="135" t="s">
        <v>138</v>
      </c>
      <c r="H14" s="253">
        <v>87</v>
      </c>
      <c r="I14" s="253">
        <v>102</v>
      </c>
      <c r="J14" s="1" t="e">
        <f t="shared" si="3"/>
        <v>#DIV/0!</v>
      </c>
      <c r="K14" s="1">
        <f t="shared" si="0"/>
        <v>15</v>
      </c>
      <c r="L14" s="1">
        <f t="shared" si="1"/>
        <v>101</v>
      </c>
      <c r="M14" s="1">
        <v>25</v>
      </c>
      <c r="N14" s="1">
        <f t="shared" si="2"/>
        <v>110</v>
      </c>
      <c r="O14" s="1">
        <v>62</v>
      </c>
    </row>
    <row r="15" spans="1:15" x14ac:dyDescent="0.2">
      <c r="A15" s="135" t="s">
        <v>773</v>
      </c>
      <c r="B15" s="135">
        <v>10</v>
      </c>
      <c r="C15" s="136">
        <v>0.13</v>
      </c>
      <c r="D15" s="135"/>
      <c r="E15" s="135"/>
      <c r="F15" s="135" t="s">
        <v>136</v>
      </c>
      <c r="G15" s="135"/>
      <c r="H15" s="253">
        <v>71</v>
      </c>
      <c r="I15" s="253">
        <v>86</v>
      </c>
      <c r="J15" s="1" t="e">
        <f t="shared" si="3"/>
        <v>#DIV/0!</v>
      </c>
      <c r="K15" s="1">
        <f>I15-H15</f>
        <v>15</v>
      </c>
      <c r="L15" s="1">
        <f t="shared" si="1"/>
        <v>85</v>
      </c>
      <c r="M15" s="1">
        <v>14</v>
      </c>
      <c r="N15" s="1">
        <f>L16+M15</f>
        <v>36</v>
      </c>
      <c r="O15" s="1">
        <v>37</v>
      </c>
    </row>
    <row r="16" spans="1:15" x14ac:dyDescent="0.2">
      <c r="A16" s="135" t="s">
        <v>774</v>
      </c>
      <c r="B16" s="135">
        <v>11</v>
      </c>
      <c r="C16" s="136">
        <v>0.3</v>
      </c>
      <c r="D16" s="135"/>
      <c r="E16" s="135"/>
      <c r="F16" s="135"/>
      <c r="G16" s="135" t="s">
        <v>140</v>
      </c>
      <c r="H16" s="253"/>
      <c r="I16" s="253">
        <v>70</v>
      </c>
      <c r="J16" s="1" t="e">
        <f t="shared" si="3"/>
        <v>#DIV/0!</v>
      </c>
      <c r="L16" s="1">
        <v>22</v>
      </c>
    </row>
    <row r="18" spans="1:6" x14ac:dyDescent="0.2">
      <c r="A18" s="2" t="s">
        <v>141</v>
      </c>
      <c r="B18" s="137" t="e">
        <f>'Middle Market Scorecard'!O73</f>
        <v>#DIV/0!</v>
      </c>
    </row>
    <row r="20" spans="1:6" x14ac:dyDescent="0.2">
      <c r="C20" s="2" t="s">
        <v>142</v>
      </c>
      <c r="D20" s="138" t="e">
        <f>SUM(J6:J16)</f>
        <v>#DIV/0!</v>
      </c>
    </row>
    <row r="21" spans="1:6" x14ac:dyDescent="0.2">
      <c r="D21" s="139"/>
    </row>
    <row r="22" spans="1:6" x14ac:dyDescent="0.2">
      <c r="C22" s="1" t="s">
        <v>264</v>
      </c>
      <c r="D22" s="140"/>
    </row>
    <row r="24" spans="1:6" x14ac:dyDescent="0.2">
      <c r="C24" s="1" t="s">
        <v>266</v>
      </c>
      <c r="D24" s="140">
        <f>VLOOKUP('Middle Market Scorecard'!$C$12,Country!A2:$C$200,3,FALSE)</f>
        <v>5</v>
      </c>
    </row>
    <row r="25" spans="1:6" x14ac:dyDescent="0.2">
      <c r="D25" s="139"/>
    </row>
    <row r="26" spans="1:6" x14ac:dyDescent="0.2">
      <c r="C26" s="1" t="s">
        <v>265</v>
      </c>
      <c r="D26" s="140" t="e">
        <f>IF(D20-D22&lt;D24,D24,D20-D22)</f>
        <v>#DIV/0!</v>
      </c>
      <c r="E26" s="1" t="s">
        <v>144</v>
      </c>
    </row>
    <row r="27" spans="1:6" x14ac:dyDescent="0.2">
      <c r="D27" s="139"/>
    </row>
    <row r="28" spans="1:6" x14ac:dyDescent="0.2">
      <c r="C28" s="1" t="s">
        <v>143</v>
      </c>
      <c r="D28" s="140" t="e">
        <f>D26</f>
        <v>#DIV/0!</v>
      </c>
    </row>
    <row r="30" spans="1:6" x14ac:dyDescent="0.2">
      <c r="A30" s="141" t="s">
        <v>145</v>
      </c>
      <c r="B30" s="142"/>
      <c r="C30" s="142"/>
      <c r="D30" s="142"/>
      <c r="E30" s="142"/>
      <c r="F30" s="143"/>
    </row>
    <row r="31" spans="1:6" x14ac:dyDescent="0.2">
      <c r="A31" s="144"/>
      <c r="F31" s="145"/>
    </row>
    <row r="32" spans="1:6" x14ac:dyDescent="0.2">
      <c r="A32" s="144"/>
      <c r="B32" s="146" t="s">
        <v>148</v>
      </c>
      <c r="C32" s="146"/>
      <c r="E32" s="1" t="s">
        <v>146</v>
      </c>
      <c r="F32" s="145"/>
    </row>
    <row r="33" spans="1:6" x14ac:dyDescent="0.2">
      <c r="A33" s="147"/>
      <c r="B33" s="141" t="s">
        <v>153</v>
      </c>
      <c r="C33" s="143"/>
      <c r="E33" s="148" t="s">
        <v>154</v>
      </c>
      <c r="F33" s="149"/>
    </row>
    <row r="34" spans="1:6" x14ac:dyDescent="0.2">
      <c r="A34" s="144"/>
      <c r="B34" s="150" t="s">
        <v>149</v>
      </c>
      <c r="C34" s="151" t="s">
        <v>151</v>
      </c>
      <c r="E34" s="150" t="s">
        <v>149</v>
      </c>
      <c r="F34" s="151" t="s">
        <v>151</v>
      </c>
    </row>
    <row r="35" spans="1:6" x14ac:dyDescent="0.2">
      <c r="A35" s="144"/>
      <c r="B35" s="152" t="s">
        <v>150</v>
      </c>
      <c r="C35" s="153" t="s">
        <v>152</v>
      </c>
      <c r="E35" s="152" t="s">
        <v>150</v>
      </c>
      <c r="F35" s="153" t="s">
        <v>152</v>
      </c>
    </row>
    <row r="36" spans="1:6" x14ac:dyDescent="0.2">
      <c r="A36" s="147" t="s">
        <v>158</v>
      </c>
      <c r="B36" s="152" t="s">
        <v>147</v>
      </c>
      <c r="C36" s="153" t="s">
        <v>155</v>
      </c>
      <c r="E36" s="152" t="s">
        <v>155</v>
      </c>
      <c r="F36" s="153" t="s">
        <v>162</v>
      </c>
    </row>
    <row r="37" spans="1:6" x14ac:dyDescent="0.2">
      <c r="A37" s="154" t="s">
        <v>159</v>
      </c>
      <c r="B37" s="155" t="s">
        <v>147</v>
      </c>
      <c r="C37" s="156" t="s">
        <v>156</v>
      </c>
      <c r="D37" s="157"/>
      <c r="E37" s="155" t="s">
        <v>156</v>
      </c>
      <c r="F37" s="156" t="s">
        <v>157</v>
      </c>
    </row>
    <row r="39" spans="1:6" x14ac:dyDescent="0.2">
      <c r="A39" s="1" t="s">
        <v>163</v>
      </c>
    </row>
    <row r="40" spans="1:6" x14ac:dyDescent="0.2">
      <c r="A40" s="1" t="s">
        <v>160</v>
      </c>
    </row>
    <row r="41" spans="1:6" x14ac:dyDescent="0.2">
      <c r="A41" s="158" t="s">
        <v>161</v>
      </c>
    </row>
    <row r="42" spans="1:6" x14ac:dyDescent="0.2">
      <c r="A42" s="1" t="s">
        <v>164</v>
      </c>
    </row>
    <row r="43" spans="1:6" x14ac:dyDescent="0.2">
      <c r="A43" s="158" t="s">
        <v>165</v>
      </c>
    </row>
  </sheetData>
  <sheetProtection selectLockedCells="1" selectUnlockedCells="1"/>
  <mergeCells count="2">
    <mergeCell ref="D1:E1"/>
    <mergeCell ref="H4:I4"/>
  </mergeCells>
  <phoneticPr fontId="0" type="noConversion"/>
  <pageMargins left="0.17" right="0.16" top="0.984251969" bottom="0.984251969" header="0.5" footer="0.5"/>
  <pageSetup scale="87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A68"/>
  <sheetViews>
    <sheetView showGridLines="0" zoomScale="85" zoomScaleNormal="85" workbookViewId="0">
      <selection activeCell="H10" sqref="H10"/>
    </sheetView>
  </sheetViews>
  <sheetFormatPr defaultRowHeight="12.75" x14ac:dyDescent="0.2"/>
  <cols>
    <col min="1" max="1" width="1.5703125" style="832" customWidth="1"/>
    <col min="2" max="2" width="27.140625" style="832" bestFit="1" customWidth="1"/>
    <col min="3" max="5" width="13.140625" style="832" customWidth="1"/>
    <col min="6" max="6" width="12.42578125" style="832" customWidth="1"/>
    <col min="7" max="7" width="3.85546875" style="833" customWidth="1"/>
    <col min="8" max="8" width="24.85546875" style="832" customWidth="1"/>
    <col min="9" max="10" width="21.42578125" style="832" customWidth="1"/>
    <col min="11" max="11" width="18.28515625" style="832" customWidth="1"/>
    <col min="12" max="12" width="1.7109375" style="832" customWidth="1"/>
    <col min="13" max="13" width="9.140625" style="832"/>
    <col min="14" max="14" width="9.140625" style="832" customWidth="1"/>
    <col min="15" max="15" width="9.5703125" style="832" customWidth="1"/>
    <col min="16" max="16" width="9.7109375" style="832" customWidth="1"/>
    <col min="17" max="18" width="10.140625" style="832" customWidth="1"/>
    <col min="19" max="19" width="10.5703125" style="832" customWidth="1"/>
    <col min="20" max="20" width="9.140625" style="832" customWidth="1"/>
    <col min="21" max="21" width="16.7109375" style="832" bestFit="1" customWidth="1"/>
    <col min="22" max="29" width="9.140625" style="832" customWidth="1"/>
    <col min="30" max="30" width="16.7109375" style="832" customWidth="1"/>
    <col min="31" max="16384" width="9.140625" style="832"/>
  </cols>
  <sheetData>
    <row r="1" spans="1:27" ht="6.75" customHeight="1" x14ac:dyDescent="0.2">
      <c r="V1" s="834" t="s">
        <v>114</v>
      </c>
      <c r="W1" s="835" t="s">
        <v>776</v>
      </c>
      <c r="X1" s="835"/>
      <c r="Y1" s="836"/>
      <c r="Z1" s="834" t="s">
        <v>115</v>
      </c>
      <c r="AA1" s="834"/>
    </row>
    <row r="2" spans="1:27" ht="13.5" customHeight="1" x14ac:dyDescent="0.2">
      <c r="B2" s="837" t="s">
        <v>777</v>
      </c>
      <c r="C2" s="1149">
        <f>'BS P&amp;L'!C2:G2</f>
        <v>0</v>
      </c>
      <c r="D2" s="1150"/>
      <c r="E2" s="1151"/>
      <c r="F2" s="838"/>
      <c r="G2" s="839"/>
      <c r="H2" s="840" t="s">
        <v>778</v>
      </c>
      <c r="I2" s="1152">
        <f>C2</f>
        <v>0</v>
      </c>
      <c r="J2" s="1152"/>
      <c r="K2" s="1153"/>
      <c r="U2" s="832" t="s">
        <v>779</v>
      </c>
      <c r="V2" s="834" t="s">
        <v>117</v>
      </c>
      <c r="W2" s="836"/>
      <c r="X2" s="835" t="s">
        <v>780</v>
      </c>
      <c r="Y2" s="834" t="s">
        <v>398</v>
      </c>
      <c r="Z2" s="834" t="s">
        <v>118</v>
      </c>
      <c r="AA2" s="834" t="s">
        <v>781</v>
      </c>
    </row>
    <row r="3" spans="1:27" ht="16.5" customHeight="1" x14ac:dyDescent="0.2">
      <c r="B3" s="841" t="s">
        <v>782</v>
      </c>
      <c r="C3" s="842">
        <f>'BS P&amp;L'!E15</f>
        <v>42735</v>
      </c>
      <c r="D3" s="842">
        <f>'BS P&amp;L'!F15</f>
        <v>43100</v>
      </c>
      <c r="E3" s="935">
        <f>'BS P&amp;L'!G15</f>
        <v>43465</v>
      </c>
      <c r="H3" s="948" t="s">
        <v>783</v>
      </c>
      <c r="I3" s="959" t="s">
        <v>779</v>
      </c>
      <c r="J3" s="948" t="s">
        <v>785</v>
      </c>
      <c r="K3" s="843"/>
      <c r="U3" s="832" t="s">
        <v>786</v>
      </c>
      <c r="V3" s="836"/>
      <c r="W3" s="836"/>
      <c r="X3" s="836"/>
      <c r="Y3" s="836"/>
      <c r="Z3" s="836"/>
      <c r="AA3" s="836"/>
    </row>
    <row r="4" spans="1:27" ht="15.75" customHeight="1" x14ac:dyDescent="0.2">
      <c r="B4" s="844" t="s">
        <v>787</v>
      </c>
      <c r="C4" s="845">
        <f>'BS P&amp;L'!E83</f>
        <v>0</v>
      </c>
      <c r="D4" s="845">
        <f>'BS P&amp;L'!F83</f>
        <v>0</v>
      </c>
      <c r="E4" s="922">
        <f>'BS P&amp;L'!G83</f>
        <v>0</v>
      </c>
      <c r="F4" s="846" t="s">
        <v>788</v>
      </c>
      <c r="H4" s="847"/>
      <c r="I4" s="847"/>
      <c r="J4" s="847"/>
      <c r="K4" s="843"/>
      <c r="U4" s="832" t="s">
        <v>789</v>
      </c>
      <c r="V4" s="848">
        <v>3</v>
      </c>
      <c r="W4" s="849">
        <v>260000000</v>
      </c>
      <c r="X4" s="849" t="s">
        <v>790</v>
      </c>
      <c r="Y4" s="850">
        <v>3.0000000000000001E-3</v>
      </c>
      <c r="Z4" s="848" t="s">
        <v>791</v>
      </c>
      <c r="AA4" s="848" t="s">
        <v>792</v>
      </c>
    </row>
    <row r="5" spans="1:27" ht="15.75" customHeight="1" x14ac:dyDescent="0.2">
      <c r="B5" s="851" t="s">
        <v>793</v>
      </c>
      <c r="C5" s="845">
        <f>'BS P&amp;L'!E83-'BS P&amp;L'!E84</f>
        <v>0</v>
      </c>
      <c r="D5" s="845">
        <f>'BS P&amp;L'!F83-'BS P&amp;L'!F84</f>
        <v>0</v>
      </c>
      <c r="E5" s="922">
        <f>'BS P&amp;L'!G83-'BS P&amp;L'!G84</f>
        <v>0</v>
      </c>
      <c r="H5" s="948" t="s">
        <v>794</v>
      </c>
      <c r="I5" s="960" t="s">
        <v>913</v>
      </c>
      <c r="J5" s="949" t="s">
        <v>795</v>
      </c>
      <c r="K5" s="964">
        <v>43553</v>
      </c>
      <c r="U5" s="832" t="s">
        <v>784</v>
      </c>
      <c r="V5" s="848">
        <v>4</v>
      </c>
      <c r="W5" s="849">
        <v>160000000</v>
      </c>
      <c r="X5" s="849" t="s">
        <v>790</v>
      </c>
      <c r="Y5" s="850">
        <v>5.0000000000000001E-3</v>
      </c>
      <c r="Z5" s="848" t="s">
        <v>796</v>
      </c>
      <c r="AA5" s="848" t="s">
        <v>797</v>
      </c>
    </row>
    <row r="6" spans="1:27" ht="15.75" customHeight="1" x14ac:dyDescent="0.2">
      <c r="B6" s="851" t="s">
        <v>798</v>
      </c>
      <c r="C6" s="845">
        <f>'BS P&amp;L'!E88</f>
        <v>0</v>
      </c>
      <c r="D6" s="845">
        <f>'BS P&amp;L'!F88</f>
        <v>0</v>
      </c>
      <c r="E6" s="922">
        <f>'BS P&amp;L'!G88</f>
        <v>0</v>
      </c>
      <c r="H6" s="847"/>
      <c r="I6" s="847"/>
      <c r="J6" s="847"/>
      <c r="K6" s="843"/>
      <c r="V6" s="848">
        <v>5</v>
      </c>
      <c r="W6" s="849">
        <v>80000000</v>
      </c>
      <c r="X6" s="849" t="s">
        <v>799</v>
      </c>
      <c r="Y6" s="850">
        <v>0.01</v>
      </c>
      <c r="Z6" s="848" t="s">
        <v>228</v>
      </c>
      <c r="AA6" s="848" t="s">
        <v>800</v>
      </c>
    </row>
    <row r="7" spans="1:27" ht="15.75" customHeight="1" x14ac:dyDescent="0.2">
      <c r="B7" s="844" t="s">
        <v>394</v>
      </c>
      <c r="C7" s="845">
        <f>'BS P&amp;L'!E94</f>
        <v>0</v>
      </c>
      <c r="D7" s="845">
        <f>'BS P&amp;L'!F94</f>
        <v>0</v>
      </c>
      <c r="E7" s="922">
        <f>'BS P&amp;L'!G94</f>
        <v>0</v>
      </c>
      <c r="F7" s="846" t="s">
        <v>788</v>
      </c>
      <c r="H7" s="948" t="s">
        <v>801</v>
      </c>
      <c r="I7" s="945">
        <v>2006</v>
      </c>
      <c r="J7" s="949" t="s">
        <v>802</v>
      </c>
      <c r="K7" s="951"/>
      <c r="V7" s="848">
        <v>6</v>
      </c>
      <c r="W7" s="849">
        <v>25000000</v>
      </c>
      <c r="X7" s="849" t="s">
        <v>803</v>
      </c>
      <c r="Y7" s="850">
        <v>0.02</v>
      </c>
      <c r="Z7" s="848" t="s">
        <v>120</v>
      </c>
      <c r="AA7" s="848" t="s">
        <v>804</v>
      </c>
    </row>
    <row r="8" spans="1:27" ht="15.75" customHeight="1" x14ac:dyDescent="0.2">
      <c r="B8" s="852" t="s">
        <v>805</v>
      </c>
      <c r="C8" s="853" t="str">
        <f>IFERROR(C7/C4, "")</f>
        <v/>
      </c>
      <c r="D8" s="853" t="str">
        <f>IFERROR(D7/D4, "")</f>
        <v/>
      </c>
      <c r="E8" s="923" t="str">
        <f>IFERROR(E7/E4, "")</f>
        <v/>
      </c>
      <c r="F8" s="846"/>
      <c r="H8" s="854"/>
      <c r="I8" s="855" t="s">
        <v>806</v>
      </c>
      <c r="J8" s="847"/>
      <c r="K8" s="952" t="s">
        <v>806</v>
      </c>
      <c r="V8" s="848">
        <v>7</v>
      </c>
      <c r="W8" s="849">
        <v>7000000</v>
      </c>
      <c r="X8" s="849" t="s">
        <v>807</v>
      </c>
      <c r="Y8" s="856">
        <v>2.5000000000000001E-2</v>
      </c>
      <c r="Z8" s="848" t="s">
        <v>122</v>
      </c>
      <c r="AA8" s="848" t="s">
        <v>808</v>
      </c>
    </row>
    <row r="9" spans="1:27" ht="15.75" customHeight="1" x14ac:dyDescent="0.2">
      <c r="B9" s="844" t="s">
        <v>809</v>
      </c>
      <c r="C9" s="857">
        <f>'BS P&amp;L'!E95</f>
        <v>0</v>
      </c>
      <c r="D9" s="857">
        <f>'BS P&amp;L'!F95</f>
        <v>0</v>
      </c>
      <c r="E9" s="924">
        <f>'BS P&amp;L'!G95</f>
        <v>0</v>
      </c>
      <c r="F9" s="846"/>
      <c r="H9" s="854"/>
      <c r="I9" s="855"/>
      <c r="J9" s="847"/>
      <c r="K9" s="952"/>
      <c r="V9" s="848">
        <v>8</v>
      </c>
      <c r="W9" s="849">
        <v>3000000</v>
      </c>
      <c r="X9" s="849" t="s">
        <v>810</v>
      </c>
      <c r="Y9" s="858">
        <v>0.04</v>
      </c>
      <c r="Z9" s="848" t="s">
        <v>124</v>
      </c>
      <c r="AA9" s="848" t="s">
        <v>811</v>
      </c>
    </row>
    <row r="10" spans="1:27" ht="15.75" customHeight="1" x14ac:dyDescent="0.2">
      <c r="B10" s="844" t="s">
        <v>812</v>
      </c>
      <c r="C10" s="857">
        <f>'BS P&amp;L'!E104+'BS P&amp;L'!E105</f>
        <v>0</v>
      </c>
      <c r="D10" s="857">
        <f>'BS P&amp;L'!F104+'BS P&amp;L'!F105</f>
        <v>0</v>
      </c>
      <c r="E10" s="924">
        <f>'BS P&amp;L'!G104+'BS P&amp;L'!G105</f>
        <v>0</v>
      </c>
      <c r="F10" s="846"/>
      <c r="H10" s="948" t="s">
        <v>813</v>
      </c>
      <c r="I10" s="940"/>
      <c r="J10" s="949" t="s">
        <v>910</v>
      </c>
      <c r="K10" s="953"/>
      <c r="V10" s="848">
        <v>9</v>
      </c>
      <c r="W10" s="849">
        <v>1500000</v>
      </c>
      <c r="X10" s="849" t="s">
        <v>814</v>
      </c>
      <c r="Y10" s="858">
        <v>0.08</v>
      </c>
      <c r="Z10" s="848" t="s">
        <v>187</v>
      </c>
      <c r="AA10" s="848" t="s">
        <v>811</v>
      </c>
    </row>
    <row r="11" spans="1:27" ht="15.75" customHeight="1" x14ac:dyDescent="0.2">
      <c r="B11" s="844" t="s">
        <v>590</v>
      </c>
      <c r="C11" s="845">
        <f>'BS P&amp;L'!E110</f>
        <v>0</v>
      </c>
      <c r="D11" s="845">
        <f>'BS P&amp;L'!F110</f>
        <v>0</v>
      </c>
      <c r="E11" s="922">
        <f>'BS P&amp;L'!G110</f>
        <v>0</v>
      </c>
      <c r="F11" s="846" t="s">
        <v>788</v>
      </c>
      <c r="H11" s="941"/>
      <c r="I11" s="941"/>
      <c r="J11" s="941"/>
      <c r="K11" s="954"/>
      <c r="V11" s="848">
        <v>10</v>
      </c>
      <c r="W11" s="849">
        <v>333333</v>
      </c>
      <c r="X11" s="848" t="s">
        <v>814</v>
      </c>
      <c r="Y11" s="858">
        <v>0.13</v>
      </c>
      <c r="Z11" s="848" t="s">
        <v>815</v>
      </c>
      <c r="AA11" s="848" t="s">
        <v>816</v>
      </c>
    </row>
    <row r="12" spans="1:27" ht="15.75" customHeight="1" x14ac:dyDescent="0.2">
      <c r="B12" s="852" t="s">
        <v>817</v>
      </c>
      <c r="C12" s="853" t="e">
        <f>C11/C4</f>
        <v>#DIV/0!</v>
      </c>
      <c r="D12" s="853" t="e">
        <f>D11/D4</f>
        <v>#DIV/0!</v>
      </c>
      <c r="E12" s="923" t="e">
        <f>E11/E4</f>
        <v>#DIV/0!</v>
      </c>
      <c r="F12" s="846"/>
      <c r="H12" s="859" t="s">
        <v>818</v>
      </c>
      <c r="I12" s="854" t="e">
        <f>'Master Scale'!D20</f>
        <v>#DIV/0!</v>
      </c>
      <c r="J12" s="859" t="s">
        <v>819</v>
      </c>
      <c r="K12" s="954"/>
      <c r="V12" s="848">
        <v>11</v>
      </c>
      <c r="W12" s="848" t="s">
        <v>820</v>
      </c>
      <c r="X12" s="848" t="s">
        <v>820</v>
      </c>
      <c r="Y12" s="858">
        <v>0.3</v>
      </c>
      <c r="Z12" s="848" t="s">
        <v>588</v>
      </c>
      <c r="AA12" s="848" t="s">
        <v>820</v>
      </c>
    </row>
    <row r="13" spans="1:27" ht="15.75" customHeight="1" x14ac:dyDescent="0.2">
      <c r="B13" s="860" t="s">
        <v>821</v>
      </c>
      <c r="C13" s="861">
        <f>'BS P&amp;L'!R189</f>
        <v>45</v>
      </c>
      <c r="D13" s="861">
        <f>'BS P&amp;L'!T189</f>
        <v>450</v>
      </c>
      <c r="E13" s="925">
        <f>'BS P&amp;L'!V189</f>
        <v>4500</v>
      </c>
      <c r="F13" s="846"/>
      <c r="H13" s="854"/>
      <c r="I13" s="846" t="s">
        <v>822</v>
      </c>
      <c r="J13" s="942"/>
      <c r="K13" s="955" t="s">
        <v>823</v>
      </c>
    </row>
    <row r="14" spans="1:27" ht="16.5" customHeight="1" x14ac:dyDescent="0.2">
      <c r="B14" s="844"/>
      <c r="C14" s="862"/>
      <c r="D14" s="862"/>
      <c r="E14" s="926"/>
      <c r="F14" s="846"/>
      <c r="H14" s="948" t="s">
        <v>824</v>
      </c>
      <c r="I14" s="949" t="s">
        <v>444</v>
      </c>
      <c r="J14" s="948" t="s">
        <v>825</v>
      </c>
      <c r="K14" s="956" t="s">
        <v>444</v>
      </c>
    </row>
    <row r="15" spans="1:27" ht="16.5" customHeight="1" x14ac:dyDescent="0.2">
      <c r="B15" s="863" t="s">
        <v>826</v>
      </c>
      <c r="C15" s="847">
        <f>'BS P&amp;L'!R76</f>
        <v>0</v>
      </c>
      <c r="D15" s="847">
        <f>'BS P&amp;L'!T76</f>
        <v>0</v>
      </c>
      <c r="E15" s="843">
        <f>'BS P&amp;L'!V76</f>
        <v>0</v>
      </c>
      <c r="F15" s="846" t="s">
        <v>788</v>
      </c>
      <c r="H15" s="943"/>
      <c r="I15" s="946"/>
      <c r="J15" s="943"/>
      <c r="K15" s="962"/>
    </row>
    <row r="16" spans="1:27" ht="16.5" customHeight="1" x14ac:dyDescent="0.2">
      <c r="A16" s="864"/>
      <c r="B16" s="865" t="s">
        <v>827</v>
      </c>
      <c r="C16" s="866">
        <f>'BS P&amp;L'!E48+'BS P&amp;L'!E49</f>
        <v>2050</v>
      </c>
      <c r="D16" s="866">
        <f>'BS P&amp;L'!F48+'BS P&amp;L'!F49</f>
        <v>20500</v>
      </c>
      <c r="E16" s="927">
        <f>'BS P&amp;L'!G48+'BS P&amp;L'!G49</f>
        <v>100000</v>
      </c>
      <c r="F16" s="846" t="s">
        <v>828</v>
      </c>
      <c r="H16" s="943"/>
      <c r="I16" s="946"/>
      <c r="J16" s="943"/>
      <c r="K16" s="962"/>
    </row>
    <row r="17" spans="1:12" ht="16.5" customHeight="1" x14ac:dyDescent="0.2">
      <c r="A17" s="864"/>
      <c r="B17" s="865" t="s">
        <v>829</v>
      </c>
      <c r="C17" s="866">
        <f>'BS P&amp;L'!E63+'BS P&amp;L'!E64</f>
        <v>0</v>
      </c>
      <c r="D17" s="866">
        <f>'BS P&amp;L'!F63+'BS P&amp;L'!F64</f>
        <v>0</v>
      </c>
      <c r="E17" s="927">
        <f>'BS P&amp;L'!G63+'BS P&amp;L'!G64</f>
        <v>0</v>
      </c>
      <c r="F17" s="846" t="s">
        <v>828</v>
      </c>
      <c r="H17" s="943"/>
      <c r="I17" s="946"/>
      <c r="J17" s="943"/>
      <c r="K17" s="962"/>
    </row>
    <row r="18" spans="1:12" ht="16.5" customHeight="1" x14ac:dyDescent="0.2">
      <c r="B18" s="863" t="s">
        <v>830</v>
      </c>
      <c r="C18" s="867">
        <f>C16+C17</f>
        <v>2050</v>
      </c>
      <c r="D18" s="867">
        <f t="shared" ref="D18:E18" si="0">D16+D17</f>
        <v>20500</v>
      </c>
      <c r="E18" s="928">
        <f t="shared" si="0"/>
        <v>100000</v>
      </c>
      <c r="F18" s="846" t="s">
        <v>828</v>
      </c>
      <c r="H18" s="941"/>
      <c r="I18" s="961"/>
      <c r="J18" s="939"/>
      <c r="K18" s="957"/>
    </row>
    <row r="19" spans="1:12" ht="16.5" customHeight="1" x14ac:dyDescent="0.2">
      <c r="B19" s="863" t="s">
        <v>831</v>
      </c>
      <c r="C19" s="867">
        <f t="shared" ref="C19:D19" si="1">IF((C18-C20)&lt;0,0,(C18-C20))</f>
        <v>1900</v>
      </c>
      <c r="D19" s="867">
        <f t="shared" si="1"/>
        <v>19000</v>
      </c>
      <c r="E19" s="928">
        <f>IF((E18-E20)&lt;0,0,(E18-E20))</f>
        <v>85000</v>
      </c>
      <c r="F19" s="846" t="s">
        <v>828</v>
      </c>
      <c r="H19" s="948" t="s">
        <v>832</v>
      </c>
      <c r="I19" s="944" t="s">
        <v>914</v>
      </c>
      <c r="J19" s="950" t="s">
        <v>833</v>
      </c>
      <c r="K19" s="958" t="s">
        <v>914</v>
      </c>
    </row>
    <row r="20" spans="1:12" ht="16.5" customHeight="1" x14ac:dyDescent="0.2">
      <c r="B20" s="863" t="s">
        <v>834</v>
      </c>
      <c r="C20" s="847">
        <f>'BS P&amp;L'!E25+'BS P&amp;L'!E26</f>
        <v>150</v>
      </c>
      <c r="D20" s="847">
        <f>'BS P&amp;L'!F25+'BS P&amp;L'!F26</f>
        <v>1500</v>
      </c>
      <c r="E20" s="843">
        <f>'BS P&amp;L'!G25+'BS P&amp;L'!G26</f>
        <v>15000</v>
      </c>
      <c r="F20" s="846" t="s">
        <v>788</v>
      </c>
      <c r="H20" s="846"/>
      <c r="I20" s="855" t="s">
        <v>835</v>
      </c>
      <c r="J20" s="853"/>
      <c r="K20" s="952" t="s">
        <v>836</v>
      </c>
    </row>
    <row r="21" spans="1:12" ht="18" customHeight="1" x14ac:dyDescent="0.2">
      <c r="B21" s="868" t="s">
        <v>837</v>
      </c>
      <c r="C21" s="869">
        <f>'BS P&amp;L'!E47</f>
        <v>9500</v>
      </c>
      <c r="D21" s="869">
        <f>'BS P&amp;L'!F47</f>
        <v>95000</v>
      </c>
      <c r="E21" s="929">
        <f>'BS P&amp;L'!G47</f>
        <v>770000</v>
      </c>
      <c r="F21" s="846" t="s">
        <v>788</v>
      </c>
      <c r="H21" s="854"/>
      <c r="I21" s="939"/>
      <c r="J21" s="939"/>
      <c r="K21" s="957"/>
    </row>
    <row r="22" spans="1:12" ht="20.25" customHeight="1" x14ac:dyDescent="0.2">
      <c r="B22" s="844"/>
      <c r="C22" s="870"/>
      <c r="D22" s="870"/>
      <c r="E22" s="930"/>
      <c r="F22" s="846"/>
      <c r="H22" s="948" t="s">
        <v>838</v>
      </c>
      <c r="I22" s="949" t="s">
        <v>839</v>
      </c>
      <c r="J22" s="949" t="s">
        <v>840</v>
      </c>
      <c r="K22" s="956" t="s">
        <v>841</v>
      </c>
      <c r="L22" s="871"/>
    </row>
    <row r="23" spans="1:12" ht="17.25" customHeight="1" x14ac:dyDescent="0.2">
      <c r="B23" s="863" t="s">
        <v>842</v>
      </c>
      <c r="C23" s="872" t="e">
        <f>'BS P&amp;L'!E95/'BS P&amp;L'!E94</f>
        <v>#DIV/0!</v>
      </c>
      <c r="D23" s="873" t="e">
        <f>'BS P&amp;L'!F95/'BS P&amp;L'!F94</f>
        <v>#DIV/0!</v>
      </c>
      <c r="E23" s="931" t="e">
        <f>'BS P&amp;L'!G95/'BS P&amp;L'!G94</f>
        <v>#DIV/0!</v>
      </c>
      <c r="F23" s="846" t="s">
        <v>843</v>
      </c>
      <c r="H23" s="854" t="s">
        <v>844</v>
      </c>
      <c r="I23" s="947">
        <v>0</v>
      </c>
      <c r="J23" s="947">
        <v>0</v>
      </c>
      <c r="K23" s="963">
        <v>0</v>
      </c>
      <c r="L23" s="874"/>
    </row>
    <row r="24" spans="1:12" ht="17.25" customHeight="1" x14ac:dyDescent="0.2">
      <c r="B24" s="863" t="s">
        <v>845</v>
      </c>
      <c r="C24" s="872" t="e">
        <f t="shared" ref="C24:D24" si="2">IF((C18-C20)/C7&lt;0,0,(C18-C20)/C7)</f>
        <v>#DIV/0!</v>
      </c>
      <c r="D24" s="872" t="e">
        <f t="shared" si="2"/>
        <v>#DIV/0!</v>
      </c>
      <c r="E24" s="931" t="e">
        <f>IF((E18-E20)/E7&lt;0,0,(E18-E20)/E7)</f>
        <v>#DIV/0!</v>
      </c>
      <c r="F24" s="846" t="s">
        <v>846</v>
      </c>
      <c r="G24" s="875"/>
      <c r="H24" s="854" t="s">
        <v>847</v>
      </c>
      <c r="I24" s="947" t="s">
        <v>848</v>
      </c>
      <c r="J24" s="947" t="s">
        <v>848</v>
      </c>
      <c r="K24" s="963" t="s">
        <v>848</v>
      </c>
      <c r="L24" s="874"/>
    </row>
    <row r="25" spans="1:12" ht="15" customHeight="1" x14ac:dyDescent="0.2">
      <c r="B25" s="863" t="s">
        <v>849</v>
      </c>
      <c r="C25" s="876">
        <f>('BS P&amp;L'!E36-'BS P&amp;L'!E29)/'BS P&amp;L'!E62</f>
        <v>0.18047337278106509</v>
      </c>
      <c r="D25" s="876">
        <f>('BS P&amp;L'!F36-'BS P&amp;L'!F29)/'BS P&amp;L'!F62</f>
        <v>0.18047337278106509</v>
      </c>
      <c r="E25" s="932">
        <f>('BS P&amp;L'!G36-'BS P&amp;L'!G29)/'BS P&amp;L'!G62</f>
        <v>0.87142857142857144</v>
      </c>
      <c r="F25" s="846" t="s">
        <v>850</v>
      </c>
      <c r="G25" s="877"/>
      <c r="H25" s="854"/>
      <c r="I25" s="855" t="s">
        <v>848</v>
      </c>
      <c r="J25" s="855" t="s">
        <v>848</v>
      </c>
      <c r="K25" s="937" t="s">
        <v>848</v>
      </c>
    </row>
    <row r="26" spans="1:12" ht="16.5" customHeight="1" x14ac:dyDescent="0.2">
      <c r="B26" s="863" t="s">
        <v>851</v>
      </c>
      <c r="C26" s="878" t="e">
        <f t="shared" ref="C26:D26" si="3">IF(C19/C15&lt;0,0,C19/C15)</f>
        <v>#DIV/0!</v>
      </c>
      <c r="D26" s="878" t="e">
        <f t="shared" si="3"/>
        <v>#DIV/0!</v>
      </c>
      <c r="E26" s="933" t="e">
        <f>IF(E19/E15&lt;0,0,E19/E15)</f>
        <v>#DIV/0!</v>
      </c>
      <c r="F26" s="846" t="s">
        <v>846</v>
      </c>
      <c r="G26" s="877"/>
      <c r="H26" s="838"/>
      <c r="I26" s="879" t="s">
        <v>852</v>
      </c>
      <c r="J26" s="879" t="s">
        <v>853</v>
      </c>
      <c r="K26" s="880" t="s">
        <v>854</v>
      </c>
    </row>
    <row r="27" spans="1:12" ht="16.5" customHeight="1" x14ac:dyDescent="0.2">
      <c r="B27" s="868"/>
      <c r="C27" s="881"/>
      <c r="D27" s="881"/>
      <c r="E27" s="934"/>
      <c r="F27" s="846"/>
      <c r="H27" s="859" t="s">
        <v>855</v>
      </c>
      <c r="I27" s="845"/>
      <c r="J27" s="882"/>
      <c r="K27" s="883" t="e">
        <f>I36-I27</f>
        <v>#DIV/0!</v>
      </c>
    </row>
    <row r="28" spans="1:12" ht="16.5" customHeight="1" x14ac:dyDescent="0.2">
      <c r="B28" s="863" t="s">
        <v>856</v>
      </c>
      <c r="C28" s="884" t="e">
        <f>('BS P&amp;L'!E29)/('BS P&amp;L'!E84)*360</f>
        <v>#DIV/0!</v>
      </c>
      <c r="D28" s="884" t="e">
        <f>('BS P&amp;L'!F29)/('BS P&amp;L'!F84)*360</f>
        <v>#DIV/0!</v>
      </c>
      <c r="E28" s="903" t="e">
        <f>('BS P&amp;L'!G29)/('BS P&amp;L'!G84)*360</f>
        <v>#DIV/0!</v>
      </c>
      <c r="F28" s="846"/>
      <c r="H28" s="859" t="s">
        <v>857</v>
      </c>
      <c r="I28" s="845"/>
      <c r="J28" s="921"/>
      <c r="K28" s="885" t="e">
        <f>K35-I28</f>
        <v>#DIV/0!</v>
      </c>
    </row>
    <row r="29" spans="1:12" ht="16.5" customHeight="1" x14ac:dyDescent="0.2">
      <c r="B29" s="886" t="s">
        <v>858</v>
      </c>
      <c r="C29" s="884" t="e">
        <f>ABS('BS P&amp;L'!E27/'BS P&amp;L'!E83)*360</f>
        <v>#DIV/0!</v>
      </c>
      <c r="D29" s="884" t="e">
        <f>ABS('BS P&amp;L'!F27/'BS P&amp;L'!F83)*360</f>
        <v>#DIV/0!</v>
      </c>
      <c r="E29" s="903" t="e">
        <f>ABS('BS P&amp;L'!G27/'BS P&amp;L'!G83)*360</f>
        <v>#DIV/0!</v>
      </c>
      <c r="F29" s="846" t="s">
        <v>859</v>
      </c>
      <c r="J29" s="855" t="s">
        <v>860</v>
      </c>
      <c r="K29" s="887"/>
    </row>
    <row r="30" spans="1:12" x14ac:dyDescent="0.2">
      <c r="B30" s="863" t="s">
        <v>861</v>
      </c>
      <c r="C30" s="884" t="e">
        <f>ABS('BS P&amp;L'!E53/'BS P&amp;L'!E84)*360</f>
        <v>#DIV/0!</v>
      </c>
      <c r="D30" s="884" t="e">
        <f>ABS('BS P&amp;L'!F53/'BS P&amp;L'!F84)*360</f>
        <v>#DIV/0!</v>
      </c>
      <c r="E30" s="936" t="e">
        <f>ABS('BS P&amp;L'!G53/'BS P&amp;L'!G84)*360</f>
        <v>#DIV/0!</v>
      </c>
      <c r="F30" s="846" t="s">
        <v>862</v>
      </c>
      <c r="H30" s="888"/>
      <c r="I30" s="889"/>
      <c r="J30" s="889"/>
      <c r="K30" s="890"/>
    </row>
    <row r="31" spans="1:12" ht="12.75" customHeight="1" x14ac:dyDescent="0.2">
      <c r="B31" s="891"/>
      <c r="C31" s="892"/>
      <c r="D31" s="892"/>
      <c r="E31" s="884"/>
      <c r="F31" s="846"/>
      <c r="H31" s="1154" t="s">
        <v>863</v>
      </c>
      <c r="I31" s="1155"/>
      <c r="J31" s="1155"/>
      <c r="K31" s="1156"/>
    </row>
    <row r="32" spans="1:12" x14ac:dyDescent="0.2">
      <c r="B32" s="893" t="s">
        <v>864</v>
      </c>
      <c r="C32" s="894"/>
      <c r="D32" s="894"/>
      <c r="E32" s="895"/>
      <c r="F32" s="833"/>
      <c r="H32" s="1157"/>
      <c r="I32" s="1158"/>
      <c r="J32" s="1158"/>
      <c r="K32" s="1159"/>
    </row>
    <row r="33" spans="2:19" ht="17.25" customHeight="1" x14ac:dyDescent="0.2">
      <c r="B33" s="896"/>
      <c r="C33" s="889"/>
      <c r="D33" s="889"/>
      <c r="E33" s="897"/>
      <c r="F33" s="833"/>
      <c r="H33" s="898" t="s">
        <v>580</v>
      </c>
      <c r="I33" s="899" t="e">
        <f>I12</f>
        <v>#DIV/0!</v>
      </c>
      <c r="J33" s="1160"/>
      <c r="K33" s="1161"/>
    </row>
    <row r="34" spans="2:19" ht="17.25" customHeight="1" x14ac:dyDescent="0.2">
      <c r="B34" s="896"/>
      <c r="C34" s="889"/>
      <c r="D34" s="889"/>
      <c r="E34" s="897"/>
      <c r="F34" s="833"/>
      <c r="H34" s="900" t="s">
        <v>398</v>
      </c>
      <c r="I34" s="901" t="e">
        <f>VLOOKUP(I33,$V$4:$AA$12,4, FALSE)</f>
        <v>#DIV/0!</v>
      </c>
      <c r="J34" s="900" t="s">
        <v>865</v>
      </c>
      <c r="K34" s="902">
        <f>E4*5%*1000</f>
        <v>0</v>
      </c>
    </row>
    <row r="35" spans="2:19" ht="17.25" customHeight="1" x14ac:dyDescent="0.2">
      <c r="B35" s="863"/>
      <c r="C35" s="884"/>
      <c r="D35" s="884"/>
      <c r="E35" s="903"/>
      <c r="F35" s="846"/>
      <c r="H35" s="900" t="s">
        <v>866</v>
      </c>
      <c r="I35" s="902">
        <v>100000</v>
      </c>
      <c r="J35" s="900" t="s">
        <v>867</v>
      </c>
      <c r="K35" s="904" t="e">
        <f>VLOOKUP(I33,$V$4:$AA$12,2, FALSE)</f>
        <v>#DIV/0!</v>
      </c>
    </row>
    <row r="36" spans="2:19" ht="17.25" customHeight="1" x14ac:dyDescent="0.2">
      <c r="B36" s="863"/>
      <c r="C36" s="884"/>
      <c r="D36" s="884"/>
      <c r="E36" s="903"/>
      <c r="F36" s="846"/>
      <c r="H36" s="905" t="s">
        <v>868</v>
      </c>
      <c r="I36" s="906" t="e">
        <f>I35/I34</f>
        <v>#DIV/0!</v>
      </c>
      <c r="J36" s="905" t="s">
        <v>869</v>
      </c>
      <c r="K36" s="907" t="e">
        <f>VLOOKUP(I33,$V$4:$AA$12,3, FALSE)</f>
        <v>#DIV/0!</v>
      </c>
    </row>
    <row r="37" spans="2:19" ht="17.25" customHeight="1" x14ac:dyDescent="0.2">
      <c r="B37" s="863"/>
      <c r="C37" s="884"/>
      <c r="D37" s="884"/>
      <c r="E37" s="903"/>
      <c r="F37" s="846"/>
      <c r="H37" s="1162" t="s">
        <v>870</v>
      </c>
      <c r="I37" s="1163"/>
      <c r="J37" s="1163"/>
      <c r="K37" s="1164"/>
    </row>
    <row r="38" spans="2:19" ht="17.25" customHeight="1" x14ac:dyDescent="0.2">
      <c r="B38" s="863"/>
      <c r="C38" s="884"/>
      <c r="D38" s="884"/>
      <c r="E38" s="903"/>
      <c r="F38" s="846"/>
      <c r="H38" s="908"/>
      <c r="I38" s="838"/>
      <c r="J38" s="1165"/>
      <c r="K38" s="1166"/>
      <c r="L38" s="832">
        <v>0</v>
      </c>
    </row>
    <row r="39" spans="2:19" ht="17.25" customHeight="1" x14ac:dyDescent="0.2">
      <c r="B39" s="909"/>
      <c r="C39" s="910"/>
      <c r="D39" s="910"/>
      <c r="E39" s="911"/>
      <c r="F39" s="912"/>
      <c r="G39" s="913"/>
      <c r="H39" s="914"/>
      <c r="I39" s="912"/>
      <c r="J39" s="1147"/>
      <c r="K39" s="1148"/>
      <c r="L39" s="832">
        <v>0</v>
      </c>
    </row>
    <row r="40" spans="2:19" hidden="1" x14ac:dyDescent="0.2">
      <c r="H40" s="912"/>
      <c r="I40" s="915"/>
      <c r="J40" s="915"/>
      <c r="K40" s="916"/>
    </row>
    <row r="41" spans="2:19" hidden="1" x14ac:dyDescent="0.2"/>
    <row r="42" spans="2:19" hidden="1" x14ac:dyDescent="0.2"/>
    <row r="43" spans="2:19" ht="12.75" customHeight="1" x14ac:dyDescent="0.2"/>
    <row r="44" spans="2:19" ht="15" x14ac:dyDescent="0.2">
      <c r="B44" s="917" t="s">
        <v>871</v>
      </c>
      <c r="C44" s="917" t="s">
        <v>872</v>
      </c>
      <c r="D44" s="917" t="s">
        <v>717</v>
      </c>
      <c r="E44" s="917" t="s">
        <v>873</v>
      </c>
      <c r="F44" s="917" t="s">
        <v>874</v>
      </c>
      <c r="G44" s="917" t="s">
        <v>875</v>
      </c>
      <c r="H44" s="917" t="s">
        <v>876</v>
      </c>
      <c r="I44" s="917" t="s">
        <v>877</v>
      </c>
      <c r="J44" s="917" t="s">
        <v>878</v>
      </c>
      <c r="K44" s="917" t="s">
        <v>879</v>
      </c>
      <c r="L44" s="917" t="s">
        <v>880</v>
      </c>
      <c r="M44" s="917" t="s">
        <v>881</v>
      </c>
      <c r="N44" s="917" t="s">
        <v>882</v>
      </c>
      <c r="O44" s="917" t="s">
        <v>883</v>
      </c>
      <c r="P44" s="917" t="s">
        <v>884</v>
      </c>
      <c r="Q44" s="917" t="s">
        <v>849</v>
      </c>
      <c r="R44" s="917" t="s">
        <v>885</v>
      </c>
      <c r="S44" s="917" t="s">
        <v>851</v>
      </c>
    </row>
    <row r="45" spans="2:19" x14ac:dyDescent="0.2">
      <c r="B45" s="918" t="e">
        <f>I12</f>
        <v>#DIV/0!</v>
      </c>
      <c r="C45" s="918">
        <f>K7</f>
        <v>0</v>
      </c>
      <c r="D45" s="918">
        <f>E4</f>
        <v>0</v>
      </c>
      <c r="E45" s="918">
        <f>E4-D4</f>
        <v>0</v>
      </c>
      <c r="F45" s="918">
        <f>E5</f>
        <v>0</v>
      </c>
      <c r="G45" s="918">
        <f>E5-D5</f>
        <v>0</v>
      </c>
      <c r="H45" s="918">
        <f>E11</f>
        <v>0</v>
      </c>
      <c r="I45" s="918">
        <f>E11-D11</f>
        <v>0</v>
      </c>
      <c r="J45" s="919">
        <f>E15</f>
        <v>0</v>
      </c>
      <c r="K45" s="918">
        <f>E15-D15</f>
        <v>0</v>
      </c>
      <c r="L45" s="918">
        <f>E18</f>
        <v>100000</v>
      </c>
      <c r="M45" s="918">
        <f>E18-D18</f>
        <v>79500</v>
      </c>
      <c r="N45" s="918">
        <f>E10</f>
        <v>0</v>
      </c>
      <c r="O45" s="918">
        <f>E20</f>
        <v>15000</v>
      </c>
      <c r="P45" s="918">
        <f>E20-D20</f>
        <v>13500</v>
      </c>
      <c r="Q45" s="920">
        <f>E25</f>
        <v>0.87142857142857144</v>
      </c>
      <c r="R45" s="920" t="e">
        <f>E24</f>
        <v>#DIV/0!</v>
      </c>
      <c r="S45" s="920" t="e">
        <f>E26</f>
        <v>#DIV/0!</v>
      </c>
    </row>
    <row r="61" spans="9:9" ht="12.75" customHeight="1" x14ac:dyDescent="0.2"/>
    <row r="62" spans="9:9" x14ac:dyDescent="0.2">
      <c r="I62" s="981" t="s">
        <v>902</v>
      </c>
    </row>
    <row r="63" spans="9:9" x14ac:dyDescent="0.2">
      <c r="I63" s="981" t="s">
        <v>903</v>
      </c>
    </row>
    <row r="64" spans="9:9" x14ac:dyDescent="0.2">
      <c r="I64" s="981" t="s">
        <v>904</v>
      </c>
    </row>
    <row r="65" spans="9:9" x14ac:dyDescent="0.2">
      <c r="I65" s="981" t="s">
        <v>904</v>
      </c>
    </row>
    <row r="66" spans="9:9" x14ac:dyDescent="0.2">
      <c r="I66" s="981" t="s">
        <v>905</v>
      </c>
    </row>
    <row r="67" spans="9:9" x14ac:dyDescent="0.2">
      <c r="I67" s="981" t="s">
        <v>906</v>
      </c>
    </row>
    <row r="68" spans="9:9" x14ac:dyDescent="0.2">
      <c r="I68" s="981" t="s">
        <v>907</v>
      </c>
    </row>
  </sheetData>
  <mergeCells count="7">
    <mergeCell ref="J39:K39"/>
    <mergeCell ref="C2:E2"/>
    <mergeCell ref="I2:K2"/>
    <mergeCell ref="H31:K32"/>
    <mergeCell ref="J33:K33"/>
    <mergeCell ref="H37:K37"/>
    <mergeCell ref="J38:K38"/>
  </mergeCells>
  <dataValidations count="1">
    <dataValidation type="list" allowBlank="1" showInputMessage="1" showErrorMessage="1" sqref="I3" xr:uid="{00000000-0002-0000-0600-000000000000}">
      <formula1>$U$2:$U$8</formula1>
    </dataValidation>
  </dataValidations>
  <pageMargins left="0.78740157480314965" right="0.78740157480314965" top="0.98425196850393704" bottom="0.98425196850393704" header="0.51181102362204722" footer="0.51181102362204722"/>
  <pageSetup scale="72" orientation="landscape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9F19C65F00A994AA9049A31260D7043" ma:contentTypeVersion="0" ma:contentTypeDescription="Crie um novo documento." ma:contentTypeScope="" ma:versionID="eec2d52f5aaf826952c5defa1ac77fc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e078010f886becc52d8153076464ff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5658B2A-E442-4D91-9AE0-97EEC0EA63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FB6EDF0-ABC0-4501-965B-D4E9B2A2C89F}">
  <ds:schemaRefs>
    <ds:schemaRef ds:uri="http://schemas.microsoft.com/office/2006/metadata/properties"/>
    <ds:schemaRef ds:uri="http://purl.org/dc/terms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C110254-2092-4493-A32B-37ACFB6F36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Country</vt:lpstr>
      <vt:lpstr>Projeto Projeção</vt:lpstr>
      <vt:lpstr>BS P&amp;L</vt:lpstr>
      <vt:lpstr>Input Calculations</vt:lpstr>
      <vt:lpstr>Middle Market Scorecard</vt:lpstr>
      <vt:lpstr>Master Scale</vt:lpstr>
      <vt:lpstr>Resumo</vt:lpstr>
      <vt:lpstr>'Middle Market Scorecard'!Area_de_impressao</vt:lpstr>
      <vt:lpstr>'Projeto Projeção'!Area_de_impressao</vt:lpstr>
      <vt:lpstr>Resumo!Area_de_impressao</vt:lpstr>
      <vt:lpstr>DATA</vt:lpstr>
      <vt:lpstr>DATA2</vt:lpstr>
      <vt:lpstr>DATA3</vt:lpstr>
      <vt:lpstr>DATA4</vt:lpstr>
      <vt:lpstr>TABELA</vt:lpstr>
      <vt:lpstr>VALOR</vt:lpstr>
    </vt:vector>
  </TitlesOfParts>
  <Company>LOUIS DREYFUS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Ricardo Hack</cp:lastModifiedBy>
  <cp:lastPrinted>2019-03-29T14:54:21Z</cp:lastPrinted>
  <dcterms:created xsi:type="dcterms:W3CDTF">2002-10-09T19:06:33Z</dcterms:created>
  <dcterms:modified xsi:type="dcterms:W3CDTF">2019-12-05T18:02:12Z</dcterms:modified>
</cp:coreProperties>
</file>